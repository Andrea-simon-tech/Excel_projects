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webextensions/webextension1.xml" ContentType="application/vnd.ms-office.webextension+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2.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d.docs.live.net/d3ac4068cfa75ffe/Desktop/DA Projects/"/>
    </mc:Choice>
  </mc:AlternateContent>
  <xr:revisionPtr revIDLastSave="26" documentId="8_{73239455-6EA2-4803-A64C-D46CEFD0DFF8}" xr6:coauthVersionLast="47" xr6:coauthVersionMax="47" xr10:uidLastSave="{29A64450-FCB5-42BA-8851-2AFBD9376B55}"/>
  <bookViews>
    <workbookView xWindow="-108" yWindow="-108" windowWidth="23256" windowHeight="12456" xr2:uid="{7376C28F-7A59-4931-9F61-A545790CC82A}"/>
  </bookViews>
  <sheets>
    <sheet name="Tracker" sheetId="1" r:id="rId1"/>
    <sheet name="List" sheetId="2" r:id="rId2"/>
  </sheets>
  <definedNames>
    <definedName name="Assigned_to">List!$A$2:$A$18</definedName>
    <definedName name="Completion_Date">Tracker!$I$23:$I$50</definedName>
    <definedName name="Due_Date">Tracker!$F$23:$F$50</definedName>
    <definedName name="Slicer_Is_Overdue">#N/A</definedName>
    <definedName name="Slicer_Is_Overdue1">#N/A</definedName>
    <definedName name="Slicer_Pending_Age">#N/A</definedName>
    <definedName name="Slicer_Pending_Age1">#N/A</definedName>
    <definedName name="Slicer_Priority">#N/A</definedName>
    <definedName name="Slicer_Status">#N/A</definedName>
    <definedName name="Slicer_Task_ID">#N/A</definedName>
    <definedName name="Start_Date">Tracker!$E$23:$E$50</definedName>
  </definedNames>
  <calcPr calcId="191029"/>
  <pivotCaches>
    <pivotCache cacheId="0" r:id="rId3"/>
    <pivotCache cacheId="1" r:id="rId4"/>
    <pivotCache cacheId="2"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7" i="1" l="1"/>
  <c r="K50" i="1"/>
  <c r="K49" i="1"/>
  <c r="K48" i="1"/>
  <c r="K47" i="1"/>
  <c r="K46" i="1"/>
  <c r="K45" i="1"/>
  <c r="K44" i="1"/>
  <c r="K43" i="1"/>
  <c r="K42" i="1"/>
  <c r="K41" i="1"/>
  <c r="K40" i="1"/>
  <c r="K39" i="1"/>
  <c r="L47" i="1"/>
  <c r="M47" i="1" s="1"/>
  <c r="L48" i="1"/>
  <c r="M48" i="1" s="1"/>
  <c r="L49" i="1"/>
  <c r="M49" i="1" s="1"/>
  <c r="L50" i="1"/>
  <c r="M50" i="1" s="1"/>
  <c r="L39" i="1"/>
  <c r="M39" i="1" s="1"/>
  <c r="L40" i="1"/>
  <c r="M40" i="1" s="1"/>
  <c r="L41" i="1"/>
  <c r="M41" i="1" s="1"/>
  <c r="L42" i="1"/>
  <c r="M42" i="1" s="1"/>
  <c r="L43" i="1"/>
  <c r="M43" i="1" s="1"/>
  <c r="L44" i="1"/>
  <c r="M44" i="1" s="1"/>
  <c r="L45" i="1"/>
  <c r="M45" i="1" s="1"/>
  <c r="L46" i="1"/>
  <c r="M46" i="1" s="1"/>
  <c r="K38" i="1"/>
  <c r="L25" i="1"/>
  <c r="M25" i="1" s="1"/>
  <c r="L26" i="1"/>
  <c r="M26" i="1" s="1"/>
  <c r="L27" i="1"/>
  <c r="M27" i="1" s="1"/>
  <c r="L28" i="1"/>
  <c r="M28" i="1" s="1"/>
  <c r="L29" i="1"/>
  <c r="M29" i="1" s="1"/>
  <c r="L30" i="1"/>
  <c r="M30" i="1" s="1"/>
  <c r="L31" i="1"/>
  <c r="M31" i="1" s="1"/>
  <c r="L32" i="1"/>
  <c r="M32" i="1" s="1"/>
  <c r="L33" i="1"/>
  <c r="M33" i="1" s="1"/>
  <c r="L34" i="1"/>
  <c r="M34" i="1" s="1"/>
  <c r="L35" i="1"/>
  <c r="M35" i="1" s="1"/>
  <c r="L36" i="1"/>
  <c r="M36" i="1" s="1"/>
  <c r="L37" i="1"/>
  <c r="M37" i="1" s="1"/>
  <c r="L38" i="1"/>
  <c r="M38" i="1" s="1"/>
  <c r="K25" i="1"/>
  <c r="K26" i="1"/>
  <c r="K27" i="1"/>
  <c r="K28" i="1"/>
  <c r="K29" i="1"/>
  <c r="K30" i="1"/>
  <c r="K31" i="1"/>
  <c r="K32" i="1"/>
  <c r="K33" i="1"/>
  <c r="K34" i="1"/>
  <c r="K35" i="1"/>
  <c r="K36" i="1"/>
  <c r="K37" i="1"/>
  <c r="L24" i="1"/>
  <c r="M24" i="1" s="1"/>
  <c r="K24" i="1"/>
</calcChain>
</file>

<file path=xl/sharedStrings.xml><?xml version="1.0" encoding="utf-8"?>
<sst xmlns="http://schemas.openxmlformats.org/spreadsheetml/2006/main" count="138" uniqueCount="79">
  <si>
    <t xml:space="preserve">Assigned to </t>
  </si>
  <si>
    <t>Pending days</t>
  </si>
  <si>
    <t>Bucket</t>
  </si>
  <si>
    <t>0 to 5 days</t>
  </si>
  <si>
    <t>5 to 10 days</t>
  </si>
  <si>
    <t>10 to 15 days</t>
  </si>
  <si>
    <t>15 to 20 days</t>
  </si>
  <si>
    <t>Above 20 days</t>
  </si>
  <si>
    <t xml:space="preserve">Oliviia Parker </t>
  </si>
  <si>
    <t xml:space="preserve">Jane Austen </t>
  </si>
  <si>
    <t>Jim Collins</t>
  </si>
  <si>
    <t>Chandler Bing</t>
  </si>
  <si>
    <t>Monica Geller</t>
  </si>
  <si>
    <t>Mason Brown</t>
  </si>
  <si>
    <t>Elena Zubasheva</t>
  </si>
  <si>
    <t>Francess Howard</t>
  </si>
  <si>
    <t>Kenneth Moore</t>
  </si>
  <si>
    <t>Ross Geller</t>
  </si>
  <si>
    <t>Pheobe Buffay</t>
  </si>
  <si>
    <t xml:space="preserve">Annie Brown </t>
  </si>
  <si>
    <t>Van Gogh</t>
  </si>
  <si>
    <t>Emily Cooper</t>
  </si>
  <si>
    <t xml:space="preserve">Alfie </t>
  </si>
  <si>
    <t>Task Name</t>
  </si>
  <si>
    <t>Description</t>
  </si>
  <si>
    <t>Start Date</t>
  </si>
  <si>
    <t>Due Date</t>
  </si>
  <si>
    <t>Priority</t>
  </si>
  <si>
    <t>Status</t>
  </si>
  <si>
    <t>Completion Date</t>
  </si>
  <si>
    <t>Notes</t>
  </si>
  <si>
    <t>Is Overdue</t>
  </si>
  <si>
    <t>Pending Days</t>
  </si>
  <si>
    <t>Pending Age</t>
  </si>
  <si>
    <t xml:space="preserve">Conduct Team Meeting </t>
  </si>
  <si>
    <t>Write Blog Post</t>
  </si>
  <si>
    <t>Update Customer Database</t>
  </si>
  <si>
    <t xml:space="preserve">Prepare Financial Report </t>
  </si>
  <si>
    <t>Organize Office Event</t>
  </si>
  <si>
    <t>Develop Mobile App</t>
  </si>
  <si>
    <t xml:space="preserve">Test Website Functionality </t>
  </si>
  <si>
    <t xml:space="preserve">Draft Employee Handbook </t>
  </si>
  <si>
    <t>Analyze Sales Data</t>
  </si>
  <si>
    <t xml:space="preserve">Create Social Media Content </t>
  </si>
  <si>
    <t>Plan Product Launch</t>
  </si>
  <si>
    <t>Review Legal Documents</t>
  </si>
  <si>
    <t>Implement Security Measures</t>
  </si>
  <si>
    <t>Set up New Employee Workstations</t>
  </si>
  <si>
    <t>Conduct Market Analysis</t>
  </si>
  <si>
    <t>Complile quarterly financial data</t>
  </si>
  <si>
    <t xml:space="preserve">Plan an office event </t>
  </si>
  <si>
    <t xml:space="preserve">Build a mobile app </t>
  </si>
  <si>
    <t>Test website for bugs</t>
  </si>
  <si>
    <t>Review sales trends</t>
  </si>
  <si>
    <t>Write employee guidelines</t>
  </si>
  <si>
    <t>Coordinate product launch</t>
  </si>
  <si>
    <t>Develop social media projects</t>
  </si>
  <si>
    <t>Check legal compliance</t>
  </si>
  <si>
    <t>Deploy security protocols</t>
  </si>
  <si>
    <t>Prepare workstations for new hires</t>
  </si>
  <si>
    <t>Research market trends</t>
  </si>
  <si>
    <t>High</t>
  </si>
  <si>
    <t>Low</t>
  </si>
  <si>
    <t>Medium</t>
  </si>
  <si>
    <t>In progress</t>
  </si>
  <si>
    <t>Completed</t>
  </si>
  <si>
    <t>Not Started</t>
  </si>
  <si>
    <t>Row Labels</t>
  </si>
  <si>
    <t>(blank)</t>
  </si>
  <si>
    <t>Grand Total</t>
  </si>
  <si>
    <t xml:space="preserve">Task ID </t>
  </si>
  <si>
    <t>Lead a meeting to discuss project upadates</t>
  </si>
  <si>
    <t xml:space="preserve">Create a blog post </t>
  </si>
  <si>
    <t>Referesh customer database</t>
  </si>
  <si>
    <t xml:space="preserve">Count of Task ID </t>
  </si>
  <si>
    <t>On Time</t>
  </si>
  <si>
    <t>Overdue</t>
  </si>
  <si>
    <t>TASK MANAGEMENT TRACKER</t>
  </si>
  <si>
    <t>TOTAL TASKS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</si>
</sst>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8"/>
      <color theme="1"/>
      <name val="Calibri"/>
      <family val="2"/>
      <scheme val="minor"/>
    </font>
    <font>
      <b/>
      <sz val="28"/>
      <color theme="2"/>
      <name val="Calibri"/>
      <family val="2"/>
      <scheme val="minor"/>
    </font>
    <font>
      <sz val="11"/>
      <color theme="2"/>
      <name val="Calibri"/>
      <family val="2"/>
      <scheme val="minor"/>
    </font>
    <font>
      <b/>
      <sz val="14"/>
      <color theme="2"/>
      <name val="Calibri"/>
      <family val="2"/>
      <scheme val="minor"/>
    </font>
    <font>
      <b/>
      <sz val="72"/>
      <color theme="2"/>
      <name val="Calibri"/>
      <family val="2"/>
      <scheme val="minor"/>
    </font>
  </fonts>
  <fills count="8">
    <fill>
      <patternFill patternType="none"/>
    </fill>
    <fill>
      <patternFill patternType="gray125"/>
    </fill>
    <fill>
      <patternFill patternType="solid">
        <fgColor theme="4" tint="0.39997558519241921"/>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1" tint="0.34998626667073579"/>
        <bgColor indexed="64"/>
      </patternFill>
    </fill>
  </fills>
  <borders count="9">
    <border>
      <left/>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medium">
        <color theme="9"/>
      </left>
      <right style="medium">
        <color theme="9"/>
      </right>
      <top style="medium">
        <color theme="9"/>
      </top>
      <bottom style="medium">
        <color theme="9"/>
      </bottom>
      <diagonal/>
    </border>
    <border>
      <left style="thin">
        <color indexed="64"/>
      </left>
      <right style="thin">
        <color indexed="64"/>
      </right>
      <top style="thin">
        <color indexed="64"/>
      </top>
      <bottom style="thin">
        <color indexed="64"/>
      </bottom>
      <diagonal/>
    </border>
    <border>
      <left/>
      <right style="medium">
        <color theme="9"/>
      </right>
      <top style="medium">
        <color theme="9"/>
      </top>
      <bottom style="medium">
        <color theme="9"/>
      </bottom>
      <diagonal/>
    </border>
    <border>
      <left style="medium">
        <color theme="9"/>
      </left>
      <right style="medium">
        <color theme="9"/>
      </right>
      <top style="medium">
        <color theme="9"/>
      </top>
      <bottom/>
      <diagonal/>
    </border>
    <border>
      <left style="medium">
        <color theme="9"/>
      </left>
      <right style="medium">
        <color theme="9"/>
      </right>
      <top style="medium">
        <color theme="9"/>
      </top>
      <bottom style="thin">
        <color indexed="64"/>
      </bottom>
      <diagonal/>
    </border>
  </borders>
  <cellStyleXfs count="1">
    <xf numFmtId="0" fontId="0" fillId="0" borderId="0"/>
  </cellStyleXfs>
  <cellXfs count="36">
    <xf numFmtId="0" fontId="0" fillId="0" borderId="0" xfId="0"/>
    <xf numFmtId="0" fontId="0" fillId="0" borderId="1" xfId="0" applyBorder="1" applyAlignment="1">
      <alignment horizontal="center"/>
    </xf>
    <xf numFmtId="0" fontId="0" fillId="2" borderId="2" xfId="0"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14" fontId="0" fillId="0" borderId="0" xfId="0" applyNumberFormat="1"/>
    <xf numFmtId="0" fontId="0" fillId="3" borderId="5" xfId="0" applyFill="1" applyBorder="1" applyAlignment="1">
      <alignment horizontal="center"/>
    </xf>
    <xf numFmtId="0" fontId="0" fillId="0" borderId="5" xfId="0" applyBorder="1" applyAlignment="1">
      <alignment horizontal="center"/>
    </xf>
    <xf numFmtId="0" fontId="0" fillId="4" borderId="0" xfId="0" applyFill="1" applyAlignment="1">
      <alignment horizontal="center"/>
    </xf>
    <xf numFmtId="0" fontId="0" fillId="0" borderId="5" xfId="0" applyBorder="1"/>
    <xf numFmtId="0" fontId="0" fillId="0" borderId="0" xfId="0" pivotButton="1"/>
    <xf numFmtId="0" fontId="0" fillId="0" borderId="0" xfId="0" applyAlignment="1">
      <alignment horizontal="left"/>
    </xf>
    <xf numFmtId="0" fontId="0" fillId="0" borderId="6" xfId="0" applyBorder="1" applyAlignment="1">
      <alignment horizontal="center"/>
    </xf>
    <xf numFmtId="0" fontId="0" fillId="0" borderId="7" xfId="0" applyBorder="1" applyAlignment="1">
      <alignment horizontal="center"/>
    </xf>
    <xf numFmtId="0" fontId="0" fillId="0" borderId="0" xfId="0" applyAlignment="1">
      <alignment horizontal="center"/>
    </xf>
    <xf numFmtId="14" fontId="0" fillId="0" borderId="4" xfId="0" applyNumberFormat="1" applyBorder="1" applyAlignment="1">
      <alignment horizontal="center"/>
    </xf>
    <xf numFmtId="49" fontId="0" fillId="0" borderId="4" xfId="0" applyNumberFormat="1" applyBorder="1" applyAlignment="1">
      <alignment horizontal="center"/>
    </xf>
    <xf numFmtId="0" fontId="1" fillId="0" borderId="4" xfId="0" applyFont="1" applyBorder="1" applyAlignment="1">
      <alignment horizontal="center"/>
    </xf>
    <xf numFmtId="49" fontId="0" fillId="0" borderId="7" xfId="0" applyNumberFormat="1" applyBorder="1" applyAlignment="1">
      <alignment horizontal="center"/>
    </xf>
    <xf numFmtId="14" fontId="0" fillId="0" borderId="7" xfId="0" applyNumberFormat="1" applyBorder="1" applyAlignment="1">
      <alignment horizontal="center"/>
    </xf>
    <xf numFmtId="0" fontId="1" fillId="0" borderId="7" xfId="0" applyFont="1" applyBorder="1" applyAlignment="1">
      <alignment horizontal="center"/>
    </xf>
    <xf numFmtId="14" fontId="0" fillId="0" borderId="0" xfId="0" applyNumberFormat="1" applyAlignment="1">
      <alignment horizontal="center"/>
    </xf>
    <xf numFmtId="0" fontId="5" fillId="5" borderId="6" xfId="0" applyFont="1" applyFill="1" applyBorder="1" applyAlignment="1">
      <alignment horizontal="center"/>
    </xf>
    <xf numFmtId="0" fontId="5" fillId="5" borderId="4" xfId="0" applyFont="1" applyFill="1" applyBorder="1" applyAlignment="1">
      <alignment horizontal="center"/>
    </xf>
    <xf numFmtId="49" fontId="5" fillId="5" borderId="4" xfId="0" applyNumberFormat="1" applyFont="1" applyFill="1" applyBorder="1" applyAlignment="1">
      <alignment horizontal="center"/>
    </xf>
    <xf numFmtId="14" fontId="5" fillId="5" borderId="4" xfId="0" applyNumberFormat="1" applyFont="1" applyFill="1" applyBorder="1" applyAlignment="1">
      <alignment horizontal="center"/>
    </xf>
    <xf numFmtId="0" fontId="0" fillId="6" borderId="0" xfId="0" applyFill="1"/>
    <xf numFmtId="14" fontId="0" fillId="6" borderId="0" xfId="0" applyNumberFormat="1" applyFill="1"/>
    <xf numFmtId="0" fontId="3" fillId="5" borderId="0" xfId="0" applyFont="1" applyFill="1" applyAlignment="1">
      <alignment horizontal="center"/>
    </xf>
    <xf numFmtId="0" fontId="4" fillId="5" borderId="0" xfId="0" applyFont="1" applyFill="1" applyAlignment="1">
      <alignment horizontal="center"/>
    </xf>
    <xf numFmtId="0" fontId="2" fillId="5" borderId="0" xfId="0" applyFont="1" applyFill="1" applyAlignment="1">
      <alignment horizontal="center"/>
    </xf>
    <xf numFmtId="0" fontId="6" fillId="7" borderId="0" xfId="0" applyFont="1" applyFill="1" applyAlignment="1">
      <alignment horizontal="center" vertical="center"/>
    </xf>
    <xf numFmtId="0" fontId="0" fillId="0" borderId="8" xfId="0" applyBorder="1" applyAlignment="1">
      <alignment horizontal="center"/>
    </xf>
    <xf numFmtId="49" fontId="0" fillId="0" borderId="8" xfId="0" applyNumberFormat="1" applyBorder="1" applyAlignment="1">
      <alignment horizontal="center"/>
    </xf>
    <xf numFmtId="14" fontId="0" fillId="0" borderId="8" xfId="0" applyNumberFormat="1" applyBorder="1" applyAlignment="1">
      <alignment horizontal="center"/>
    </xf>
    <xf numFmtId="0" fontId="1" fillId="0" borderId="8" xfId="0" applyFont="1" applyBorder="1" applyAlignment="1">
      <alignment horizontal="center"/>
    </xf>
  </cellXfs>
  <cellStyles count="1">
    <cellStyle name="Normal" xfId="0" builtinId="0"/>
  </cellStyles>
  <dxfs count="20">
    <dxf>
      <alignment horizontal="center" vertical="bottom"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dxf>
    <dxf>
      <fill>
        <gradientFill degree="90">
          <stop position="0">
            <color theme="0"/>
          </stop>
          <stop position="1">
            <color rgb="FFFF5050"/>
          </stop>
        </gradientFill>
      </fill>
    </dxf>
    <dxf>
      <fill>
        <gradientFill degree="90">
          <stop position="0">
            <color theme="7" tint="0.59999389629810485"/>
          </stop>
          <stop position="1">
            <color theme="9" tint="0.40000610370189521"/>
          </stop>
        </gradientFill>
      </fill>
    </dxf>
    <dxf>
      <fill>
        <gradientFill degree="90">
          <stop position="0">
            <color theme="0"/>
          </stop>
          <stop position="1">
            <color theme="7" tint="0.40000610370189521"/>
          </stop>
        </gradientFill>
      </fill>
    </dxf>
    <dxf>
      <fill>
        <gradientFill degree="90">
          <stop position="0">
            <color theme="0"/>
          </stop>
          <stop position="1">
            <color rgb="FFFF5050"/>
          </stop>
        </gradientFill>
      </fill>
    </dxf>
    <dxf>
      <fill>
        <gradientFill degree="90">
          <stop position="0">
            <color theme="0"/>
          </stop>
          <stop position="1">
            <color theme="5" tint="0.40000610370189521"/>
          </stop>
        </gradientFill>
      </fill>
    </dxf>
    <dxf>
      <fill>
        <gradientFill degree="90">
          <stop position="0">
            <color theme="0"/>
          </stop>
          <stop position="1">
            <color theme="7" tint="0.40000610370189521"/>
          </stop>
        </gradientFill>
      </fill>
    </dxf>
    <dxf>
      <fill>
        <patternFill patternType="solid">
          <bgColor rgb="FF92D050"/>
        </patternFill>
      </fill>
    </dxf>
    <dxf>
      <fill>
        <patternFill>
          <bgColor theme="7" tint="0.39994506668294322"/>
        </patternFill>
      </fill>
    </dxf>
    <dxf>
      <fill>
        <gradientFill degree="90">
          <stop position="0">
            <color theme="0"/>
          </stop>
          <stop position="1">
            <color rgb="FFFF0000"/>
          </stop>
        </gradientFill>
      </fill>
    </dxf>
    <dxf>
      <fill>
        <patternFill>
          <bgColor rgb="FF92D050"/>
        </patternFill>
      </fill>
    </dxf>
    <dxf>
      <fill>
        <gradientFill degree="90">
          <stop position="0">
            <color theme="0"/>
          </stop>
          <stop position="1">
            <color rgb="FFFFC000"/>
          </stop>
        </gradientFill>
      </fill>
    </dxf>
    <dxf>
      <fill>
        <gradientFill degree="90">
          <stop position="0">
            <color theme="0"/>
          </stop>
          <stop position="1">
            <color theme="9" tint="0.40000610370189521"/>
          </stop>
        </gradientFill>
      </fill>
    </dxf>
    <dxf>
      <fill>
        <gradientFill degree="90">
          <stop position="0">
            <color theme="0"/>
          </stop>
          <stop position="1">
            <color rgb="FFED611B"/>
          </stop>
        </gradientFill>
      </fill>
    </dxf>
    <dxf>
      <fill>
        <patternFill patternType="solid">
          <bgColor theme="9" tint="0.39994506668294322"/>
        </patternFill>
      </fill>
    </dxf>
  </dxfs>
  <tableStyles count="0" defaultTableStyle="TableStyleMedium2" defaultPivotStyle="PivotStyleLight16"/>
  <colors>
    <mruColors>
      <color rgb="FFFF5050"/>
      <color rgb="FFE22A26"/>
      <color rgb="FFED61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theme" Target="theme/theme1.xml"/><Relationship Id="rId3" Type="http://schemas.openxmlformats.org/officeDocument/2006/relationships/pivotCacheDefinition" Target="pivotCache/pivotCacheDefinition1.xml"/><Relationship Id="rId7" Type="http://schemas.microsoft.com/office/2007/relationships/slicerCache" Target="slicerCaches/slicerCache2.xml"/><Relationship Id="rId12" Type="http://schemas.microsoft.com/office/2007/relationships/slicerCache" Target="slicerCaches/slicerCache7.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3.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pivotCacheDefinition" Target="pivotCache/pivotCacheDefinition2.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management Tracker.xlsm]List!Task Count by Priority</c:name>
    <c:fmtId val="0"/>
  </c:pivotSource>
  <c:chart>
    <c:title>
      <c:tx>
        <c:rich>
          <a:bodyPr rot="0" spcFirstLastPara="1" vertOverflow="ellipsis" vert="horz" wrap="square" anchor="ctr" anchorCtr="1"/>
          <a:lstStyle/>
          <a:p>
            <a:pPr>
              <a:defRPr sz="1400" b="0" i="0" u="none" strike="noStrike" kern="1200" cap="none" spc="20" baseline="0">
                <a:solidFill>
                  <a:schemeClr val="bg1"/>
                </a:solidFill>
                <a:latin typeface="+mn-lt"/>
                <a:ea typeface="+mn-ea"/>
                <a:cs typeface="+mn-cs"/>
              </a:defRPr>
            </a:pPr>
            <a:r>
              <a:rPr lang="en-US"/>
              <a:t>Count of Tasks by Priority</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9050">
            <a:solidFill>
              <a:schemeClr val="tx1">
                <a:lumMod val="95000"/>
                <a:lumOff val="5000"/>
              </a:schemeClr>
            </a:solidFill>
          </a:ln>
          <a:effectLst/>
          <a:sp3d contourW="19050">
            <a:contourClr>
              <a:schemeClr val="tx1">
                <a:lumMod val="95000"/>
                <a:lumOff val="5000"/>
              </a:schemeClr>
            </a:contourClr>
          </a:sp3d>
        </c:spPr>
        <c:marker>
          <c:symbol val="none"/>
        </c:marker>
        <c:dLbl>
          <c:idx val="0"/>
          <c:spPr>
            <a:solidFill>
              <a:srgbClr val="A5C249">
                <a:lumMod val="40000"/>
                <a:lumOff val="6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6">
              <a:lumMod val="40000"/>
              <a:lumOff val="60000"/>
            </a:schemeClr>
          </a:solidFill>
          <a:ln>
            <a:noFill/>
          </a:ln>
          <a:effectLst/>
          <a:sp3d/>
        </c:spPr>
        <c:dLbl>
          <c:idx val="0"/>
          <c:layout>
            <c:manualLayout>
              <c:x val="-0.14652014652014653"/>
              <c:y val="-8.0482897384305835E-2"/>
            </c:manualLayout>
          </c:layout>
          <c:spPr>
            <a:solidFill>
              <a:srgbClr val="A5C249">
                <a:lumMod val="40000"/>
                <a:lumOff val="6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2">
              <a:lumMod val="60000"/>
              <a:lumOff val="40000"/>
            </a:schemeClr>
          </a:solidFill>
          <a:ln>
            <a:noFill/>
          </a:ln>
          <a:effectLst/>
          <a:sp3d/>
        </c:spPr>
        <c:dLbl>
          <c:idx val="0"/>
          <c:layout>
            <c:manualLayout>
              <c:x val="-0.12087912087912088"/>
              <c:y val="5.3655264922870559E-2"/>
            </c:manualLayout>
          </c:layout>
          <c:spPr>
            <a:solidFill>
              <a:srgbClr val="A5C249">
                <a:lumMod val="40000"/>
                <a:lumOff val="6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lumMod val="75000"/>
            </a:schemeClr>
          </a:solidFill>
          <a:ln w="19050">
            <a:solidFill>
              <a:schemeClr val="tx1">
                <a:lumMod val="95000"/>
                <a:lumOff val="5000"/>
              </a:schemeClr>
            </a:solidFill>
          </a:ln>
          <a:effectLst/>
          <a:sp3d contourW="19050">
            <a:contourClr>
              <a:schemeClr val="tx1">
                <a:lumMod val="95000"/>
                <a:lumOff val="5000"/>
              </a:schemeClr>
            </a:contourClr>
          </a:sp3d>
        </c:spPr>
        <c:dLbl>
          <c:idx val="0"/>
          <c:layout>
            <c:manualLayout>
              <c:x val="0.10256410256410256"/>
              <c:y val="-0.1006036217303823"/>
            </c:manualLayout>
          </c:layout>
          <c:spPr>
            <a:solidFill>
              <a:srgbClr val="A5C249">
                <a:lumMod val="40000"/>
                <a:lumOff val="6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500389374405122"/>
                  <c:h val="0.16910703063525509"/>
                </c:manualLayout>
              </c15:layout>
            </c:ext>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19050">
            <a:solidFill>
              <a:schemeClr val="tx1">
                <a:lumMod val="95000"/>
                <a:lumOff val="5000"/>
              </a:schemeClr>
            </a:solidFill>
          </a:ln>
          <a:effectLst/>
          <a:sp3d contourW="19050">
            <a:contourClr>
              <a:schemeClr val="tx1">
                <a:lumMod val="95000"/>
                <a:lumOff val="5000"/>
              </a:schemeClr>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847344525721267"/>
          <c:y val="0.28269861027584692"/>
          <c:w val="0.64123524069028159"/>
          <c:h val="0.58489585590791981"/>
        </c:manualLayout>
      </c:layout>
      <c:pie3DChart>
        <c:varyColors val="1"/>
        <c:ser>
          <c:idx val="0"/>
          <c:order val="0"/>
          <c:tx>
            <c:strRef>
              <c:f>List!$B$20</c:f>
              <c:strCache>
                <c:ptCount val="1"/>
                <c:pt idx="0">
                  <c:v>Total</c:v>
                </c:pt>
              </c:strCache>
            </c:strRef>
          </c:tx>
          <c:spPr>
            <a:ln w="19050">
              <a:solidFill>
                <a:schemeClr val="tx1">
                  <a:lumMod val="95000"/>
                  <a:lumOff val="5000"/>
                </a:schemeClr>
              </a:solidFill>
            </a:ln>
          </c:spPr>
          <c:dPt>
            <c:idx val="0"/>
            <c:bubble3D val="0"/>
            <c:spPr>
              <a:solidFill>
                <a:schemeClr val="accent1">
                  <a:lumMod val="75000"/>
                </a:schemeClr>
              </a:solidFill>
              <a:ln w="19050">
                <a:solidFill>
                  <a:schemeClr val="tx1">
                    <a:lumMod val="95000"/>
                    <a:lumOff val="5000"/>
                  </a:schemeClr>
                </a:solidFill>
              </a:ln>
              <a:effectLst/>
              <a:sp3d contourW="19050">
                <a:contourClr>
                  <a:schemeClr val="tx1">
                    <a:lumMod val="95000"/>
                    <a:lumOff val="5000"/>
                  </a:schemeClr>
                </a:contourClr>
              </a:sp3d>
            </c:spPr>
            <c:extLst>
              <c:ext xmlns:c16="http://schemas.microsoft.com/office/drawing/2014/chart" uri="{C3380CC4-5D6E-409C-BE32-E72D297353CC}">
                <c16:uniqueId val="{00000005-ADB5-4658-95ED-70C518A35785}"/>
              </c:ext>
            </c:extLst>
          </c:dPt>
          <c:dPt>
            <c:idx val="1"/>
            <c:bubble3D val="0"/>
            <c:spPr>
              <a:solidFill>
                <a:schemeClr val="accent6">
                  <a:lumMod val="40000"/>
                  <a:lumOff val="60000"/>
                </a:schemeClr>
              </a:solidFill>
              <a:ln>
                <a:noFill/>
              </a:ln>
              <a:effectLst/>
              <a:sp3d/>
            </c:spPr>
            <c:extLst>
              <c:ext xmlns:c16="http://schemas.microsoft.com/office/drawing/2014/chart" uri="{C3380CC4-5D6E-409C-BE32-E72D297353CC}">
                <c16:uniqueId val="{00000006-ADB5-4658-95ED-70C518A35785}"/>
              </c:ext>
            </c:extLst>
          </c:dPt>
          <c:dPt>
            <c:idx val="2"/>
            <c:bubble3D val="0"/>
            <c:spPr>
              <a:solidFill>
                <a:schemeClr val="accent2">
                  <a:lumMod val="60000"/>
                  <a:lumOff val="40000"/>
                </a:schemeClr>
              </a:solidFill>
              <a:ln>
                <a:noFill/>
              </a:ln>
              <a:effectLst/>
              <a:sp3d/>
            </c:spPr>
            <c:extLst>
              <c:ext xmlns:c16="http://schemas.microsoft.com/office/drawing/2014/chart" uri="{C3380CC4-5D6E-409C-BE32-E72D297353CC}">
                <c16:uniqueId val="{00000007-ADB5-4658-95ED-70C518A35785}"/>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19050">
                <a:solidFill>
                  <a:schemeClr val="tx1">
                    <a:lumMod val="95000"/>
                    <a:lumOff val="5000"/>
                  </a:schemeClr>
                </a:solidFill>
              </a:ln>
              <a:effectLst/>
              <a:sp3d contourW="19050">
                <a:contourClr>
                  <a:schemeClr val="tx1">
                    <a:lumMod val="95000"/>
                    <a:lumOff val="5000"/>
                  </a:schemeClr>
                </a:contourClr>
              </a:sp3d>
            </c:spPr>
            <c:extLst>
              <c:ext xmlns:c16="http://schemas.microsoft.com/office/drawing/2014/chart" uri="{C3380CC4-5D6E-409C-BE32-E72D297353CC}">
                <c16:uniqueId val="{00000007-0A77-403A-B7D3-B87A48D800FE}"/>
              </c:ext>
            </c:extLst>
          </c:dPt>
          <c:dLbls>
            <c:dLbl>
              <c:idx val="0"/>
              <c:layout>
                <c:manualLayout>
                  <c:x val="0.10256410256410256"/>
                  <c:y val="-0.1006036217303823"/>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13500389374405122"/>
                      <c:h val="0.16910703063525509"/>
                    </c:manualLayout>
                  </c15:layout>
                </c:ext>
                <c:ext xmlns:c16="http://schemas.microsoft.com/office/drawing/2014/chart" uri="{C3380CC4-5D6E-409C-BE32-E72D297353CC}">
                  <c16:uniqueId val="{00000005-ADB5-4658-95ED-70C518A35785}"/>
                </c:ext>
              </c:extLst>
            </c:dLbl>
            <c:dLbl>
              <c:idx val="1"/>
              <c:layout>
                <c:manualLayout>
                  <c:x val="-0.14652014652014653"/>
                  <c:y val="-8.048289738430583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ADB5-4658-95ED-70C518A35785}"/>
                </c:ext>
              </c:extLst>
            </c:dLbl>
            <c:dLbl>
              <c:idx val="2"/>
              <c:layout>
                <c:manualLayout>
                  <c:x val="-0.12087912087912088"/>
                  <c:y val="5.365526492287055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DB5-4658-95ED-70C518A35785}"/>
                </c:ext>
              </c:extLst>
            </c:dLbl>
            <c:spPr>
              <a:solidFill>
                <a:srgbClr val="A5C249">
                  <a:lumMod val="40000"/>
                  <a:lumOff val="6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List!$A$21:$A$25</c:f>
              <c:strCache>
                <c:ptCount val="4"/>
                <c:pt idx="0">
                  <c:v>High</c:v>
                </c:pt>
                <c:pt idx="1">
                  <c:v>Low</c:v>
                </c:pt>
                <c:pt idx="2">
                  <c:v>Medium</c:v>
                </c:pt>
                <c:pt idx="3">
                  <c:v>(blank)</c:v>
                </c:pt>
              </c:strCache>
            </c:strRef>
          </c:cat>
          <c:val>
            <c:numRef>
              <c:f>List!$B$21:$B$25</c:f>
              <c:numCache>
                <c:formatCode>General</c:formatCode>
                <c:ptCount val="4"/>
                <c:pt idx="0">
                  <c:v>6</c:v>
                </c:pt>
                <c:pt idx="1">
                  <c:v>5</c:v>
                </c:pt>
                <c:pt idx="2">
                  <c:v>4</c:v>
                </c:pt>
              </c:numCache>
            </c:numRef>
          </c:val>
          <c:extLst>
            <c:ext xmlns:c16="http://schemas.microsoft.com/office/drawing/2014/chart" uri="{C3380CC4-5D6E-409C-BE32-E72D297353CC}">
              <c16:uniqueId val="{00000003-ADB5-4658-95ED-70C518A35785}"/>
            </c:ext>
          </c:extLst>
        </c:ser>
        <c:dLbls>
          <c:showLegendKey val="0"/>
          <c:showVal val="0"/>
          <c:showCatName val="0"/>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65000"/>
        <a:lumOff val="35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management Tracker.xlsm]List!Task Count by Status</c:name>
    <c:fmtId val="7"/>
  </c:pivotSource>
  <c:chart>
    <c:title>
      <c:tx>
        <c:rich>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r>
              <a:rPr lang="en-US"/>
              <a:t>Tasks by Status</a:t>
            </a:r>
          </a:p>
        </c:rich>
      </c:tx>
      <c:layout>
        <c:manualLayout>
          <c:xMode val="edge"/>
          <c:yMode val="edge"/>
          <c:x val="0.26663477191933288"/>
          <c:y val="1.930501930501930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endParaRPr lang="en-US"/>
        </a:p>
      </c:txPr>
    </c:title>
    <c:autoTitleDeleted val="0"/>
    <c:pivotFmts>
      <c:pivotFmt>
        <c:idx val="0"/>
        <c:spPr>
          <a:solidFill>
            <a:schemeClr val="accent1"/>
          </a:solidFill>
          <a:ln w="12700" cap="rnd" cmpd="sng">
            <a:solidFill>
              <a:schemeClr val="tx1">
                <a:lumMod val="95000"/>
                <a:lumOff val="5000"/>
              </a:schemeClr>
            </a:solidFill>
            <a:bevel/>
          </a:ln>
          <a:effectLst/>
        </c:spPr>
        <c:marker>
          <c:symbol val="none"/>
        </c:marker>
        <c:dLbl>
          <c:idx val="0"/>
          <c:spPr>
            <a:solidFill>
              <a:srgbClr val="A5C249">
                <a:lumMod val="40000"/>
                <a:lumOff val="6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2700" cap="rnd" cmpd="sng">
            <a:solidFill>
              <a:schemeClr val="tx1">
                <a:lumMod val="95000"/>
                <a:lumOff val="5000"/>
              </a:schemeClr>
            </a:solidFill>
            <a:bevel/>
          </a:ln>
          <a:effectLst/>
        </c:spPr>
        <c:dLbl>
          <c:idx val="0"/>
          <c:layout>
            <c:manualLayout>
              <c:x val="-0.17584097859327216"/>
              <c:y val="-0.15179113539769276"/>
            </c:manualLayout>
          </c:layout>
          <c:spPr>
            <a:solidFill>
              <a:srgbClr val="A5C249">
                <a:lumMod val="40000"/>
                <a:lumOff val="6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2700" cap="rnd" cmpd="sng">
            <a:solidFill>
              <a:schemeClr val="tx1">
                <a:lumMod val="95000"/>
                <a:lumOff val="5000"/>
              </a:schemeClr>
            </a:solidFill>
            <a:bevel/>
          </a:ln>
          <a:effectLst/>
        </c:spPr>
        <c:dLbl>
          <c:idx val="0"/>
          <c:layout>
            <c:manualLayout>
              <c:x val="0.22548233712870341"/>
              <c:y val="-0.16393415625358465"/>
            </c:manualLayout>
          </c:layout>
          <c:spPr>
            <a:solidFill>
              <a:srgbClr val="A5C249">
                <a:lumMod val="40000"/>
                <a:lumOff val="6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667212837349816"/>
                  <c:h val="0.24813433138032748"/>
                </c:manualLayout>
              </c15:layout>
            </c:ext>
          </c:extLst>
        </c:dLbl>
      </c:pivotFmt>
      <c:pivotFmt>
        <c:idx val="3"/>
        <c:spPr>
          <a:solidFill>
            <a:schemeClr val="accent1"/>
          </a:solidFill>
          <a:ln w="12700" cap="rnd" cmpd="sng">
            <a:solidFill>
              <a:schemeClr val="tx1">
                <a:lumMod val="95000"/>
                <a:lumOff val="5000"/>
              </a:schemeClr>
            </a:solidFill>
            <a:bevel/>
          </a:ln>
          <a:effectLst/>
        </c:spPr>
        <c:dLbl>
          <c:idx val="0"/>
          <c:layout>
            <c:manualLayout>
              <c:x val="-0.29434250764525993"/>
              <c:y val="2.4286581663630843E-2"/>
            </c:manualLayout>
          </c:layout>
          <c:spPr>
            <a:solidFill>
              <a:srgbClr val="A5C249">
                <a:lumMod val="40000"/>
                <a:lumOff val="6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2700" cap="rnd" cmpd="sng">
            <a:solidFill>
              <a:schemeClr val="tx1">
                <a:lumMod val="95000"/>
                <a:lumOff val="5000"/>
              </a:schemeClr>
            </a:solidFill>
            <a:bevel/>
          </a:ln>
          <a:effectLst/>
        </c:spPr>
      </c:pivotFmt>
    </c:pivotFmts>
    <c:plotArea>
      <c:layout/>
      <c:doughnutChart>
        <c:varyColors val="1"/>
        <c:ser>
          <c:idx val="0"/>
          <c:order val="0"/>
          <c:tx>
            <c:strRef>
              <c:f>List!$E$20</c:f>
              <c:strCache>
                <c:ptCount val="1"/>
                <c:pt idx="0">
                  <c:v>Total</c:v>
                </c:pt>
              </c:strCache>
            </c:strRef>
          </c:tx>
          <c:spPr>
            <a:ln w="12700" cap="rnd" cmpd="sng">
              <a:solidFill>
                <a:schemeClr val="tx1">
                  <a:lumMod val="95000"/>
                  <a:lumOff val="5000"/>
                </a:schemeClr>
              </a:solidFill>
              <a:bevel/>
            </a:ln>
          </c:spPr>
          <c:dPt>
            <c:idx val="0"/>
            <c:bubble3D val="0"/>
            <c:spPr>
              <a:solidFill>
                <a:schemeClr val="accent1"/>
              </a:solidFill>
              <a:ln w="12700" cap="rnd" cmpd="sng">
                <a:solidFill>
                  <a:schemeClr val="tx1">
                    <a:lumMod val="95000"/>
                    <a:lumOff val="5000"/>
                  </a:schemeClr>
                </a:solidFill>
                <a:bevel/>
              </a:ln>
              <a:effectLst/>
            </c:spPr>
            <c:extLst>
              <c:ext xmlns:c16="http://schemas.microsoft.com/office/drawing/2014/chart" uri="{C3380CC4-5D6E-409C-BE32-E72D297353CC}">
                <c16:uniqueId val="{00000003-5B6D-415C-8CCE-80AB1E87A592}"/>
              </c:ext>
            </c:extLst>
          </c:dPt>
          <c:dPt>
            <c:idx val="1"/>
            <c:bubble3D val="0"/>
            <c:spPr>
              <a:solidFill>
                <a:schemeClr val="accent2"/>
              </a:solidFill>
              <a:ln w="12700" cap="rnd" cmpd="sng">
                <a:solidFill>
                  <a:schemeClr val="tx1">
                    <a:lumMod val="95000"/>
                    <a:lumOff val="5000"/>
                  </a:schemeClr>
                </a:solidFill>
                <a:bevel/>
              </a:ln>
              <a:effectLst/>
            </c:spPr>
            <c:extLst>
              <c:ext xmlns:c16="http://schemas.microsoft.com/office/drawing/2014/chart" uri="{C3380CC4-5D6E-409C-BE32-E72D297353CC}">
                <c16:uniqueId val="{00000004-5B6D-415C-8CCE-80AB1E87A592}"/>
              </c:ext>
            </c:extLst>
          </c:dPt>
          <c:dPt>
            <c:idx val="2"/>
            <c:bubble3D val="0"/>
            <c:spPr>
              <a:solidFill>
                <a:schemeClr val="accent3"/>
              </a:solidFill>
              <a:ln w="12700" cap="rnd" cmpd="sng">
                <a:solidFill>
                  <a:schemeClr val="tx1">
                    <a:lumMod val="95000"/>
                    <a:lumOff val="5000"/>
                  </a:schemeClr>
                </a:solidFill>
                <a:bevel/>
              </a:ln>
              <a:effectLst/>
            </c:spPr>
            <c:extLst>
              <c:ext xmlns:c16="http://schemas.microsoft.com/office/drawing/2014/chart" uri="{C3380CC4-5D6E-409C-BE32-E72D297353CC}">
                <c16:uniqueId val="{00000002-5B6D-415C-8CCE-80AB1E87A592}"/>
              </c:ext>
            </c:extLst>
          </c:dPt>
          <c:dPt>
            <c:idx val="3"/>
            <c:bubble3D val="0"/>
            <c:spPr>
              <a:solidFill>
                <a:schemeClr val="accent4"/>
              </a:solidFill>
              <a:ln w="12700" cap="rnd" cmpd="sng">
                <a:solidFill>
                  <a:schemeClr val="tx1">
                    <a:lumMod val="95000"/>
                    <a:lumOff val="5000"/>
                  </a:schemeClr>
                </a:solidFill>
                <a:bevel/>
              </a:ln>
              <a:effectLst/>
            </c:spPr>
            <c:extLst>
              <c:ext xmlns:c16="http://schemas.microsoft.com/office/drawing/2014/chart" uri="{C3380CC4-5D6E-409C-BE32-E72D297353CC}">
                <c16:uniqueId val="{00000007-C906-4093-8C75-3B0862961BF1}"/>
              </c:ext>
            </c:extLst>
          </c:dPt>
          <c:dLbls>
            <c:dLbl>
              <c:idx val="0"/>
              <c:layout>
                <c:manualLayout>
                  <c:x val="0.22548233712870341"/>
                  <c:y val="-0.16393415625358465"/>
                </c:manualLayout>
              </c:layout>
              <c:showLegendKey val="0"/>
              <c:showVal val="0"/>
              <c:showCatName val="1"/>
              <c:showSerName val="0"/>
              <c:showPercent val="1"/>
              <c:showBubbleSize val="0"/>
              <c:extLst>
                <c:ext xmlns:c15="http://schemas.microsoft.com/office/drawing/2012/chart" uri="{CE6537A1-D6FC-4f65-9D91-7224C49458BB}">
                  <c15:layout>
                    <c:manualLayout>
                      <c:w val="0.23667212837349816"/>
                      <c:h val="0.24813433138032748"/>
                    </c:manualLayout>
                  </c15:layout>
                </c:ext>
                <c:ext xmlns:c16="http://schemas.microsoft.com/office/drawing/2014/chart" uri="{C3380CC4-5D6E-409C-BE32-E72D297353CC}">
                  <c16:uniqueId val="{00000003-5B6D-415C-8CCE-80AB1E87A592}"/>
                </c:ext>
              </c:extLst>
            </c:dLbl>
            <c:dLbl>
              <c:idx val="1"/>
              <c:layout>
                <c:manualLayout>
                  <c:x val="-0.29434250764525993"/>
                  <c:y val="2.428658166363084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5B6D-415C-8CCE-80AB1E87A592}"/>
                </c:ext>
              </c:extLst>
            </c:dLbl>
            <c:dLbl>
              <c:idx val="2"/>
              <c:layout>
                <c:manualLayout>
                  <c:x val="-0.17584097859327216"/>
                  <c:y val="-0.1517911353976927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B6D-415C-8CCE-80AB1E87A592}"/>
                </c:ext>
              </c:extLst>
            </c:dLbl>
            <c:spPr>
              <a:solidFill>
                <a:srgbClr val="A5C249">
                  <a:lumMod val="40000"/>
                  <a:lumOff val="6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List!$D$21:$D$25</c:f>
              <c:strCache>
                <c:ptCount val="4"/>
                <c:pt idx="0">
                  <c:v>Completed</c:v>
                </c:pt>
                <c:pt idx="1">
                  <c:v>In progress</c:v>
                </c:pt>
                <c:pt idx="2">
                  <c:v>Not Started</c:v>
                </c:pt>
                <c:pt idx="3">
                  <c:v>(blank)</c:v>
                </c:pt>
              </c:strCache>
            </c:strRef>
          </c:cat>
          <c:val>
            <c:numRef>
              <c:f>List!$E$21:$E$25</c:f>
              <c:numCache>
                <c:formatCode>General</c:formatCode>
                <c:ptCount val="4"/>
                <c:pt idx="0">
                  <c:v>5</c:v>
                </c:pt>
                <c:pt idx="1">
                  <c:v>5</c:v>
                </c:pt>
                <c:pt idx="2">
                  <c:v>5</c:v>
                </c:pt>
              </c:numCache>
            </c:numRef>
          </c:val>
          <c:extLst>
            <c:ext xmlns:c16="http://schemas.microsoft.com/office/drawing/2014/chart" uri="{C3380CC4-5D6E-409C-BE32-E72D297353CC}">
              <c16:uniqueId val="{00000000-5B6D-415C-8CCE-80AB1E87A592}"/>
            </c:ext>
          </c:extLst>
        </c:ser>
        <c:dLbls>
          <c:showLegendKey val="0"/>
          <c:showVal val="0"/>
          <c:showCatName val="0"/>
          <c:showSerName val="0"/>
          <c:showPercent val="0"/>
          <c:showBubbleSize val="0"/>
          <c:showLeaderLines val="0"/>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65000"/>
        <a:lumOff val="35000"/>
      </a:schemeClr>
    </a:solidFill>
    <a:ln w="9525" cap="flat" cmpd="sng" algn="ctr">
      <a:solidFill>
        <a:schemeClr val="tx1">
          <a:lumMod val="15000"/>
          <a:lumOff val="85000"/>
        </a:schemeClr>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management Tracker.xlsm]List!Task Count by Overdue</c:name>
    <c:fmtId val="0"/>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a:t>Overdue wise Tasks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tx1">
                <a:lumMod val="95000"/>
                <a:lumOff val="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List!$B$27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tx1">
                  <a:lumMod val="95000"/>
                  <a:lumOff val="5000"/>
                </a:schemeClr>
              </a:solid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List!$A$28:$A$31</c:f>
              <c:strCache>
                <c:ptCount val="3"/>
                <c:pt idx="0">
                  <c:v>On Time</c:v>
                </c:pt>
                <c:pt idx="1">
                  <c:v>Overdue</c:v>
                </c:pt>
                <c:pt idx="2">
                  <c:v>(blank)</c:v>
                </c:pt>
              </c:strCache>
            </c:strRef>
          </c:cat>
          <c:val>
            <c:numRef>
              <c:f>List!$B$28:$B$31</c:f>
              <c:numCache>
                <c:formatCode>General</c:formatCode>
                <c:ptCount val="3"/>
                <c:pt idx="0">
                  <c:v>7</c:v>
                </c:pt>
                <c:pt idx="1">
                  <c:v>8</c:v>
                </c:pt>
              </c:numCache>
            </c:numRef>
          </c:val>
          <c:extLst>
            <c:ext xmlns:c16="http://schemas.microsoft.com/office/drawing/2014/chart" uri="{C3380CC4-5D6E-409C-BE32-E72D297353CC}">
              <c16:uniqueId val="{00000000-66FD-4F7B-B471-7B861A5EFC84}"/>
            </c:ext>
          </c:extLst>
        </c:ser>
        <c:dLbls>
          <c:showLegendKey val="0"/>
          <c:showVal val="1"/>
          <c:showCatName val="0"/>
          <c:showSerName val="0"/>
          <c:showPercent val="0"/>
          <c:showBubbleSize val="0"/>
        </c:dLbls>
        <c:gapWidth val="150"/>
        <c:overlap val="100"/>
        <c:axId val="1078611135"/>
        <c:axId val="1078601535"/>
      </c:barChart>
      <c:catAx>
        <c:axId val="1078611135"/>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78601535"/>
        <c:crosses val="autoZero"/>
        <c:auto val="1"/>
        <c:lblAlgn val="ctr"/>
        <c:lblOffset val="100"/>
        <c:noMultiLvlLbl val="0"/>
      </c:catAx>
      <c:valAx>
        <c:axId val="10786015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78611135"/>
        <c:crosses val="autoZero"/>
        <c:crossBetween val="between"/>
      </c:valAx>
      <c:dTable>
        <c:showHorzBorder val="1"/>
        <c:showVertBorder val="1"/>
        <c:showOutline val="1"/>
        <c:showKeys val="1"/>
        <c:spPr>
          <a:noFill/>
          <a:ln w="25400" cap="flat" cmpd="sng" algn="ctr">
            <a:noFill/>
            <a:round/>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65000"/>
        <a:lumOff val="35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[Task management Tracker.xlsm]List!Task Count by Pending Age</c:name>
    <c:fmtId val="0"/>
  </c:pivotSource>
  <c:chart>
    <c:title>
      <c:tx>
        <c:rich>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r>
              <a:rPr lang="en-US"/>
              <a:t>Tasks by Pending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endParaRPr lang="en-US"/>
        </a:p>
      </c:txPr>
    </c:title>
    <c:autoTitleDeleted val="0"/>
    <c:pivotFmts>
      <c:pivotFmt>
        <c:idx val="0"/>
        <c:spPr>
          <a:solidFill>
            <a:schemeClr val="accent1"/>
          </a:solidFill>
          <a:ln w="12700">
            <a:solidFill>
              <a:schemeClr val="tx1">
                <a:lumMod val="95000"/>
                <a:lumOff val="5000"/>
              </a:schemeClr>
            </a:solidFill>
          </a:ln>
          <a:effectLst/>
          <a:sp3d contourW="12700">
            <a:contourClr>
              <a:schemeClr val="tx1">
                <a:lumMod val="95000"/>
                <a:lumOff val="5000"/>
              </a:schemeClr>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980269946467773"/>
          <c:y val="0.25292164674634798"/>
          <c:w val="0.84622192674464503"/>
          <c:h val="0.35170499105938452"/>
        </c:manualLayout>
      </c:layout>
      <c:bar3DChart>
        <c:barDir val="col"/>
        <c:grouping val="stacked"/>
        <c:varyColors val="0"/>
        <c:ser>
          <c:idx val="0"/>
          <c:order val="0"/>
          <c:tx>
            <c:strRef>
              <c:f>List!$E$27</c:f>
              <c:strCache>
                <c:ptCount val="1"/>
                <c:pt idx="0">
                  <c:v>Total</c:v>
                </c:pt>
              </c:strCache>
            </c:strRef>
          </c:tx>
          <c:spPr>
            <a:solidFill>
              <a:schemeClr val="accent1"/>
            </a:solidFill>
            <a:ln w="12700">
              <a:solidFill>
                <a:schemeClr val="tx1">
                  <a:lumMod val="95000"/>
                  <a:lumOff val="5000"/>
                </a:schemeClr>
              </a:solidFill>
            </a:ln>
            <a:effectLst/>
            <a:sp3d contourW="12700">
              <a:contourClr>
                <a:schemeClr val="tx1">
                  <a:lumMod val="95000"/>
                  <a:lumOff val="5000"/>
                </a:schemeClr>
              </a:contourClr>
            </a:sp3d>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List!$D$28:$D$31</c:f>
              <c:strCache>
                <c:ptCount val="3"/>
                <c:pt idx="1">
                  <c:v>0 to 5 days</c:v>
                </c:pt>
                <c:pt idx="2">
                  <c:v>(blank)</c:v>
                </c:pt>
              </c:strCache>
            </c:strRef>
          </c:cat>
          <c:val>
            <c:numRef>
              <c:f>List!$E$28:$E$31</c:f>
              <c:numCache>
                <c:formatCode>General</c:formatCode>
                <c:ptCount val="3"/>
                <c:pt idx="0">
                  <c:v>5</c:v>
                </c:pt>
                <c:pt idx="1">
                  <c:v>10</c:v>
                </c:pt>
              </c:numCache>
            </c:numRef>
          </c:val>
          <c:extLst>
            <c:ext xmlns:c16="http://schemas.microsoft.com/office/drawing/2014/chart" uri="{C3380CC4-5D6E-409C-BE32-E72D297353CC}">
              <c16:uniqueId val="{00000000-BA23-4EF8-B6C6-91BA5053C68C}"/>
            </c:ext>
          </c:extLst>
        </c:ser>
        <c:dLbls>
          <c:showLegendKey val="0"/>
          <c:showVal val="1"/>
          <c:showCatName val="0"/>
          <c:showSerName val="0"/>
          <c:showPercent val="0"/>
          <c:showBubbleSize val="0"/>
        </c:dLbls>
        <c:gapWidth val="219"/>
        <c:shape val="box"/>
        <c:axId val="1176388175"/>
        <c:axId val="1176396815"/>
        <c:axId val="0"/>
      </c:bar3DChart>
      <c:catAx>
        <c:axId val="1176388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176396815"/>
        <c:crosses val="autoZero"/>
        <c:auto val="1"/>
        <c:lblAlgn val="ctr"/>
        <c:lblOffset val="100"/>
        <c:noMultiLvlLbl val="0"/>
      </c:catAx>
      <c:valAx>
        <c:axId val="11763968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176388175"/>
        <c:crosses val="autoZero"/>
        <c:crossBetween val="between"/>
      </c:valAx>
      <c:dTable>
        <c:showHorzBorder val="1"/>
        <c:showVertBorder val="1"/>
        <c:showOutline val="1"/>
        <c:showKeys val="1"/>
        <c:spPr>
          <a:noFill/>
          <a:ln w="25400" cap="flat" cmpd="sng" algn="ctr">
            <a:noFill/>
            <a:round/>
          </a:ln>
          <a:effectLst/>
        </c:spPr>
        <c:txPr>
          <a:bodyPr rot="0" spcFirstLastPara="1" vertOverflow="ellipsis" vert="horz" wrap="square" anchor="ctr" anchorCtr="1"/>
          <a:lstStyle/>
          <a:p>
            <a:pPr rtl="0">
              <a:defRPr sz="900" b="0" i="0" u="none" strike="noStrike" kern="1200" baseline="0">
                <a:solidFill>
                  <a:schemeClr val="bg1">
                    <a:lumMod val="9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65000"/>
        <a:lumOff val="35000"/>
      </a:schemeClr>
    </a:solidFill>
    <a:ln w="9525" cap="flat" cmpd="sng" algn="ctr">
      <a:solidFill>
        <a:schemeClr val="tx1">
          <a:lumMod val="15000"/>
          <a:lumOff val="85000"/>
        </a:schemeClr>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1.png"/><Relationship Id="rId1" Type="http://schemas.microsoft.com/office/2011/relationships/webextension" Target="../webextensions/webextension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4</xdr:col>
      <xdr:colOff>254000</xdr:colOff>
      <xdr:row>24</xdr:row>
      <xdr:rowOff>63500</xdr:rowOff>
    </xdr:from>
    <xdr:to>
      <xdr:col>5</xdr:col>
      <xdr:colOff>657860</xdr:colOff>
      <xdr:row>40</xdr:row>
      <xdr:rowOff>63500</xdr:rowOff>
    </xdr:to>
    <mc:AlternateContent xmlns:mc="http://schemas.openxmlformats.org/markup-compatibility/2006">
      <mc:Choice xmlns:we="http://schemas.microsoft.com/office/webextensions/webextension/2010/11" Requires="we">
        <xdr:graphicFrame macro="">
          <xdr:nvGraphicFramePr>
            <xdr:cNvPr id="2" name="Calendar" hidden="1" title="Mini Calendar and Date Picker">
              <a:extLst>
                <a:ext uri="{FF2B5EF4-FFF2-40B4-BE49-F238E27FC236}">
                  <a16:creationId xmlns:a16="http://schemas.microsoft.com/office/drawing/2014/main" id="{C9F4078C-BAD8-9D02-EC90-F69D0BF44A49}"/>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Calendar" title="Mini Calendar and Date Picker">
              <a:extLst>
                <a:ext uri="{FF2B5EF4-FFF2-40B4-BE49-F238E27FC236}">
                  <a16:creationId xmlns:a16="http://schemas.microsoft.com/office/drawing/2014/main" id="{C9F4078C-BAD8-9D02-EC90-F69D0BF44A49}"/>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xdr:from>
      <xdr:col>2</xdr:col>
      <xdr:colOff>45720</xdr:colOff>
      <xdr:row>3</xdr:row>
      <xdr:rowOff>162937</xdr:rowOff>
    </xdr:from>
    <xdr:to>
      <xdr:col>3</xdr:col>
      <xdr:colOff>341042</xdr:colOff>
      <xdr:row>13</xdr:row>
      <xdr:rowOff>175260</xdr:rowOff>
    </xdr:to>
    <xdr:graphicFrame macro="">
      <xdr:nvGraphicFramePr>
        <xdr:cNvPr id="6" name="Chart 5">
          <a:extLst>
            <a:ext uri="{FF2B5EF4-FFF2-40B4-BE49-F238E27FC236}">
              <a16:creationId xmlns:a16="http://schemas.microsoft.com/office/drawing/2014/main" id="{4809043E-4D6C-D0DA-EAE8-C900A73F0D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371502</xdr:colOff>
      <xdr:row>3</xdr:row>
      <xdr:rowOff>144780</xdr:rowOff>
    </xdr:from>
    <xdr:to>
      <xdr:col>5</xdr:col>
      <xdr:colOff>567845</xdr:colOff>
      <xdr:row>13</xdr:row>
      <xdr:rowOff>167997</xdr:rowOff>
    </xdr:to>
    <xdr:graphicFrame macro="">
      <xdr:nvGraphicFramePr>
        <xdr:cNvPr id="7" name="Chart 6">
          <a:extLst>
            <a:ext uri="{FF2B5EF4-FFF2-40B4-BE49-F238E27FC236}">
              <a16:creationId xmlns:a16="http://schemas.microsoft.com/office/drawing/2014/main" id="{25F0DA17-A37B-6BD1-DF15-192841327A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718270</xdr:colOff>
      <xdr:row>3</xdr:row>
      <xdr:rowOff>159305</xdr:rowOff>
    </xdr:from>
    <xdr:to>
      <xdr:col>11</xdr:col>
      <xdr:colOff>586740</xdr:colOff>
      <xdr:row>13</xdr:row>
      <xdr:rowOff>146208</xdr:rowOff>
    </xdr:to>
    <xdr:graphicFrame macro="">
      <xdr:nvGraphicFramePr>
        <xdr:cNvPr id="8" name="Chart 7">
          <a:extLst>
            <a:ext uri="{FF2B5EF4-FFF2-40B4-BE49-F238E27FC236}">
              <a16:creationId xmlns:a16="http://schemas.microsoft.com/office/drawing/2014/main" id="{C0313A45-99C5-E163-AF73-874EF78C7C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613534</xdr:colOff>
      <xdr:row>3</xdr:row>
      <xdr:rowOff>159663</xdr:rowOff>
    </xdr:from>
    <xdr:to>
      <xdr:col>8</xdr:col>
      <xdr:colOff>687810</xdr:colOff>
      <xdr:row>13</xdr:row>
      <xdr:rowOff>153829</xdr:rowOff>
    </xdr:to>
    <xdr:graphicFrame macro="">
      <xdr:nvGraphicFramePr>
        <xdr:cNvPr id="9" name="Tasks by Pending Age">
          <a:extLst>
            <a:ext uri="{FF2B5EF4-FFF2-40B4-BE49-F238E27FC236}">
              <a16:creationId xmlns:a16="http://schemas.microsoft.com/office/drawing/2014/main" id="{4E285B66-C7AB-3A72-C9C5-AF05E0B10C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1386840</xdr:colOff>
      <xdr:row>14</xdr:row>
      <xdr:rowOff>137161</xdr:rowOff>
    </xdr:from>
    <xdr:to>
      <xdr:col>10</xdr:col>
      <xdr:colOff>351520</xdr:colOff>
      <xdr:row>20</xdr:row>
      <xdr:rowOff>137160</xdr:rowOff>
    </xdr:to>
    <xdr:grpSp>
      <xdr:nvGrpSpPr>
        <xdr:cNvPr id="11" name="Group 10">
          <a:extLst>
            <a:ext uri="{FF2B5EF4-FFF2-40B4-BE49-F238E27FC236}">
              <a16:creationId xmlns:a16="http://schemas.microsoft.com/office/drawing/2014/main" id="{0A898B5B-B1D7-F1E8-4433-1980FB24B497}"/>
            </a:ext>
          </a:extLst>
        </xdr:cNvPr>
        <xdr:cNvGrpSpPr/>
      </xdr:nvGrpSpPr>
      <xdr:grpSpPr>
        <a:xfrm>
          <a:off x="2129549" y="2702883"/>
          <a:ext cx="11137389" cy="1099593"/>
          <a:chOff x="2133446" y="2723343"/>
          <a:chExt cx="11141286" cy="1108362"/>
        </a:xfrm>
      </xdr:grpSpPr>
      <xdr:grpSp>
        <xdr:nvGrpSpPr>
          <xdr:cNvPr id="19" name="Group 18">
            <a:extLst>
              <a:ext uri="{FF2B5EF4-FFF2-40B4-BE49-F238E27FC236}">
                <a16:creationId xmlns:a16="http://schemas.microsoft.com/office/drawing/2014/main" id="{1FFC6F83-EE5B-D396-35F0-17DE62C62613}"/>
              </a:ext>
            </a:extLst>
          </xdr:cNvPr>
          <xdr:cNvGrpSpPr/>
        </xdr:nvGrpSpPr>
        <xdr:grpSpPr>
          <a:xfrm>
            <a:off x="2133446" y="2723343"/>
            <a:ext cx="6779645" cy="1108362"/>
            <a:chOff x="870243" y="2659169"/>
            <a:chExt cx="6841197" cy="1127759"/>
          </a:xfrm>
        </xdr:grpSpPr>
        <mc:AlternateContent xmlns:mc="http://schemas.openxmlformats.org/markup-compatibility/2006" xmlns:a14="http://schemas.microsoft.com/office/drawing/2010/main">
          <mc:Choice Requires="a14">
            <xdr:graphicFrame macro="">
              <xdr:nvGraphicFramePr>
                <xdr:cNvPr id="14" name="Task ID  1">
                  <a:extLst>
                    <a:ext uri="{FF2B5EF4-FFF2-40B4-BE49-F238E27FC236}">
                      <a16:creationId xmlns:a16="http://schemas.microsoft.com/office/drawing/2014/main" id="{4E9F92B2-82CB-4E74-850B-F9B0699BC800}"/>
                    </a:ext>
                  </a:extLst>
                </xdr:cNvPr>
                <xdr:cNvGraphicFramePr/>
              </xdr:nvGraphicFramePr>
              <xdr:xfrm>
                <a:off x="870243" y="2659169"/>
                <a:ext cx="2263140" cy="1127759"/>
              </xdr:xfrm>
              <a:graphic>
                <a:graphicData uri="http://schemas.microsoft.com/office/drawing/2010/slicer">
                  <sle:slicer xmlns:sle="http://schemas.microsoft.com/office/drawing/2010/slicer" name="Task ID  1"/>
                </a:graphicData>
              </a:graphic>
            </xdr:graphicFrame>
          </mc:Choice>
          <mc:Fallback xmlns="">
            <xdr:sp macro="" textlink="">
              <xdr:nvSpPr>
                <xdr:cNvPr id="0" name=""/>
                <xdr:cNvSpPr>
                  <a:spLocks noTextEdit="1"/>
                </xdr:cNvSpPr>
              </xdr:nvSpPr>
              <xdr:spPr>
                <a:xfrm>
                  <a:off x="2133446" y="2723343"/>
                  <a:ext cx="2242778" cy="11083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5" name="Priority 1">
                  <a:extLst>
                    <a:ext uri="{FF2B5EF4-FFF2-40B4-BE49-F238E27FC236}">
                      <a16:creationId xmlns:a16="http://schemas.microsoft.com/office/drawing/2014/main" id="{6EC0A738-13F9-4568-83E5-D6B4AE77C42F}"/>
                    </a:ext>
                  </a:extLst>
                </xdr:cNvPr>
                <xdr:cNvGraphicFramePr/>
              </xdr:nvGraphicFramePr>
              <xdr:xfrm>
                <a:off x="3338704" y="2705099"/>
                <a:ext cx="2361057" cy="1067576"/>
              </xdr:xfrm>
              <a:graphic>
                <a:graphicData uri="http://schemas.microsoft.com/office/drawing/2010/slicer">
                  <sle:slicer xmlns:sle="http://schemas.microsoft.com/office/drawing/2010/slicer" name="Priority 1"/>
                </a:graphicData>
              </a:graphic>
            </xdr:graphicFrame>
          </mc:Choice>
          <mc:Fallback xmlns="">
            <xdr:sp macro="" textlink="">
              <xdr:nvSpPr>
                <xdr:cNvPr id="0" name=""/>
                <xdr:cNvSpPr>
                  <a:spLocks noTextEdit="1"/>
                </xdr:cNvSpPr>
              </xdr:nvSpPr>
              <xdr:spPr>
                <a:xfrm>
                  <a:off x="4579698" y="2768483"/>
                  <a:ext cx="2339814" cy="10492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 name="Status 1">
                  <a:extLst>
                    <a:ext uri="{FF2B5EF4-FFF2-40B4-BE49-F238E27FC236}">
                      <a16:creationId xmlns:a16="http://schemas.microsoft.com/office/drawing/2014/main" id="{EF1876E3-44EC-4271-8EA5-A4C5B18E5E77}"/>
                    </a:ext>
                  </a:extLst>
                </xdr:cNvPr>
                <xdr:cNvGraphicFramePr/>
              </xdr:nvGraphicFramePr>
              <xdr:xfrm>
                <a:off x="5893997" y="2712719"/>
                <a:ext cx="1817443" cy="1052123"/>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7112000" y="2775972"/>
                  <a:ext cx="1801091" cy="10340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Pending Age 1">
                <a:extLst>
                  <a:ext uri="{FF2B5EF4-FFF2-40B4-BE49-F238E27FC236}">
                    <a16:creationId xmlns:a16="http://schemas.microsoft.com/office/drawing/2014/main" id="{FC2D5E46-AE06-4995-0C80-28E0CA18933E}"/>
                  </a:ext>
                </a:extLst>
              </xdr:cNvPr>
              <xdr:cNvGraphicFramePr/>
            </xdr:nvGraphicFramePr>
            <xdr:xfrm>
              <a:off x="9059333" y="2801696"/>
              <a:ext cx="2147455" cy="1023697"/>
            </xdr:xfrm>
            <a:graphic>
              <a:graphicData uri="http://schemas.microsoft.com/office/drawing/2010/slicer">
                <sle:slicer xmlns:sle="http://schemas.microsoft.com/office/drawing/2010/slicer" name="Pending Age 1"/>
              </a:graphicData>
            </a:graphic>
          </xdr:graphicFrame>
        </mc:Choice>
        <mc:Fallback xmlns="">
          <xdr:sp macro="" textlink="">
            <xdr:nvSpPr>
              <xdr:cNvPr id="0" name=""/>
              <xdr:cNvSpPr>
                <a:spLocks noTextEdit="1"/>
              </xdr:cNvSpPr>
            </xdr:nvSpPr>
            <xdr:spPr>
              <a:xfrm>
                <a:off x="9059333" y="2801696"/>
                <a:ext cx="2147455" cy="10236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Is Overdue 1">
                <a:extLst>
                  <a:ext uri="{FF2B5EF4-FFF2-40B4-BE49-F238E27FC236}">
                    <a16:creationId xmlns:a16="http://schemas.microsoft.com/office/drawing/2014/main" id="{6D783826-37B0-D714-E328-FDF165D04F41}"/>
                  </a:ext>
                </a:extLst>
              </xdr:cNvPr>
              <xdr:cNvGraphicFramePr/>
            </xdr:nvGraphicFramePr>
            <xdr:xfrm>
              <a:off x="11437697" y="2817090"/>
              <a:ext cx="1837035" cy="992910"/>
            </xdr:xfrm>
            <a:graphic>
              <a:graphicData uri="http://schemas.microsoft.com/office/drawing/2010/slicer">
                <sle:slicer xmlns:sle="http://schemas.microsoft.com/office/drawing/2010/slicer" name="Is Overdue 1"/>
              </a:graphicData>
            </a:graphic>
          </xdr:graphicFrame>
        </mc:Choice>
        <mc:Fallback xmlns="">
          <xdr:sp macro="" textlink="">
            <xdr:nvSpPr>
              <xdr:cNvPr id="0" name=""/>
              <xdr:cNvSpPr>
                <a:spLocks noTextEdit="1"/>
              </xdr:cNvSpPr>
            </xdr:nvSpPr>
            <xdr:spPr>
              <a:xfrm>
                <a:off x="11437697" y="2817090"/>
                <a:ext cx="1837035" cy="9929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7620</xdr:colOff>
      <xdr:row>7</xdr:row>
      <xdr:rowOff>7621</xdr:rowOff>
    </xdr:from>
    <xdr:to>
      <xdr:col>6</xdr:col>
      <xdr:colOff>114300</xdr:colOff>
      <xdr:row>16</xdr:row>
      <xdr:rowOff>22860</xdr:rowOff>
    </xdr:to>
    <mc:AlternateContent xmlns:mc="http://schemas.openxmlformats.org/markup-compatibility/2006" xmlns:a14="http://schemas.microsoft.com/office/drawing/2010/main">
      <mc:Choice Requires="a14">
        <xdr:graphicFrame macro="">
          <xdr:nvGraphicFramePr>
            <xdr:cNvPr id="2" name="Task ID ">
              <a:extLst>
                <a:ext uri="{FF2B5EF4-FFF2-40B4-BE49-F238E27FC236}">
                  <a16:creationId xmlns:a16="http://schemas.microsoft.com/office/drawing/2014/main" id="{25199A93-519A-6B73-DAA5-0FA143BFCD27}"/>
                </a:ext>
              </a:extLst>
            </xdr:cNvPr>
            <xdr:cNvGraphicFramePr/>
          </xdr:nvGraphicFramePr>
          <xdr:xfrm>
            <a:off x="0" y="0"/>
            <a:ext cx="0" cy="0"/>
          </xdr:xfrm>
          <a:graphic>
            <a:graphicData uri="http://schemas.microsoft.com/office/drawing/2010/slicer">
              <sle:slicer xmlns:sle="http://schemas.microsoft.com/office/drawing/2010/slicer" name="Task ID "/>
            </a:graphicData>
          </a:graphic>
        </xdr:graphicFrame>
      </mc:Choice>
      <mc:Fallback xmlns="">
        <xdr:sp macro="" textlink="">
          <xdr:nvSpPr>
            <xdr:cNvPr id="0" name=""/>
            <xdr:cNvSpPr>
              <a:spLocks noTextEdit="1"/>
            </xdr:cNvSpPr>
          </xdr:nvSpPr>
          <xdr:spPr>
            <a:xfrm>
              <a:off x="3390900" y="1287781"/>
              <a:ext cx="1844040" cy="16611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624840</xdr:colOff>
      <xdr:row>7</xdr:row>
      <xdr:rowOff>22859</xdr:rowOff>
    </xdr:from>
    <xdr:to>
      <xdr:col>8</xdr:col>
      <xdr:colOff>303060</xdr:colOff>
      <xdr:row>15</xdr:row>
      <xdr:rowOff>175260</xdr:rowOff>
    </xdr:to>
    <mc:AlternateContent xmlns:mc="http://schemas.openxmlformats.org/markup-compatibility/2006" xmlns:a14="http://schemas.microsoft.com/office/drawing/2010/main">
      <mc:Choice Requires="a14">
        <xdr:graphicFrame macro="">
          <xdr:nvGraphicFramePr>
            <xdr:cNvPr id="3" name="Priority">
              <a:extLst>
                <a:ext uri="{FF2B5EF4-FFF2-40B4-BE49-F238E27FC236}">
                  <a16:creationId xmlns:a16="http://schemas.microsoft.com/office/drawing/2014/main" id="{8FCA812C-7CC0-2F60-77AB-544884EBAE79}"/>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5059680" y="1303019"/>
              <a:ext cx="1712760" cy="16154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182880</xdr:colOff>
      <xdr:row>7</xdr:row>
      <xdr:rowOff>7620</xdr:rowOff>
    </xdr:from>
    <xdr:to>
      <xdr:col>11</xdr:col>
      <xdr:colOff>160020</xdr:colOff>
      <xdr:row>15</xdr:row>
      <xdr:rowOff>175261</xdr:rowOff>
    </xdr:to>
    <mc:AlternateContent xmlns:mc="http://schemas.openxmlformats.org/markup-compatibility/2006" xmlns:a14="http://schemas.microsoft.com/office/drawing/2010/main">
      <mc:Choice Requires="a14">
        <xdr:graphicFrame macro="">
          <xdr:nvGraphicFramePr>
            <xdr:cNvPr id="4" name="Status">
              <a:extLst>
                <a:ext uri="{FF2B5EF4-FFF2-40B4-BE49-F238E27FC236}">
                  <a16:creationId xmlns:a16="http://schemas.microsoft.com/office/drawing/2014/main" id="{BD16C008-0F11-C867-4B85-6BAB73E44727}"/>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6842760" y="1287780"/>
              <a:ext cx="1805940" cy="16306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312420</xdr:colOff>
      <xdr:row>7</xdr:row>
      <xdr:rowOff>7620</xdr:rowOff>
    </xdr:from>
    <xdr:to>
      <xdr:col>17</xdr:col>
      <xdr:colOff>312420</xdr:colOff>
      <xdr:row>15</xdr:row>
      <xdr:rowOff>175260</xdr:rowOff>
    </xdr:to>
    <mc:AlternateContent xmlns:mc="http://schemas.openxmlformats.org/markup-compatibility/2006" xmlns:a14="http://schemas.microsoft.com/office/drawing/2010/main">
      <mc:Choice Requires="a14">
        <xdr:graphicFrame macro="">
          <xdr:nvGraphicFramePr>
            <xdr:cNvPr id="5" name="Is Overdue">
              <a:extLst>
                <a:ext uri="{FF2B5EF4-FFF2-40B4-BE49-F238E27FC236}">
                  <a16:creationId xmlns:a16="http://schemas.microsoft.com/office/drawing/2014/main" id="{12D6A0D9-4595-A51C-C54A-44847D1068D7}"/>
                </a:ext>
              </a:extLst>
            </xdr:cNvPr>
            <xdr:cNvGraphicFramePr/>
          </xdr:nvGraphicFramePr>
          <xdr:xfrm>
            <a:off x="0" y="0"/>
            <a:ext cx="0" cy="0"/>
          </xdr:xfrm>
          <a:graphic>
            <a:graphicData uri="http://schemas.microsoft.com/office/drawing/2010/slicer">
              <sle:slicer xmlns:sle="http://schemas.microsoft.com/office/drawing/2010/slicer" name="Is Overdue"/>
            </a:graphicData>
          </a:graphic>
        </xdr:graphicFrame>
      </mc:Choice>
      <mc:Fallback xmlns="">
        <xdr:sp macro="" textlink="">
          <xdr:nvSpPr>
            <xdr:cNvPr id="0" name=""/>
            <xdr:cNvSpPr>
              <a:spLocks noTextEdit="1"/>
            </xdr:cNvSpPr>
          </xdr:nvSpPr>
          <xdr:spPr>
            <a:xfrm>
              <a:off x="10629900" y="1287780"/>
              <a:ext cx="1828800" cy="16306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243840</xdr:colOff>
      <xdr:row>7</xdr:row>
      <xdr:rowOff>15241</xdr:rowOff>
    </xdr:from>
    <xdr:to>
      <xdr:col>14</xdr:col>
      <xdr:colOff>243840</xdr:colOff>
      <xdr:row>15</xdr:row>
      <xdr:rowOff>167641</xdr:rowOff>
    </xdr:to>
    <mc:AlternateContent xmlns:mc="http://schemas.openxmlformats.org/markup-compatibility/2006" xmlns:a14="http://schemas.microsoft.com/office/drawing/2010/main">
      <mc:Choice Requires="a14">
        <xdr:graphicFrame macro="">
          <xdr:nvGraphicFramePr>
            <xdr:cNvPr id="6" name="Pending Age">
              <a:extLst>
                <a:ext uri="{FF2B5EF4-FFF2-40B4-BE49-F238E27FC236}">
                  <a16:creationId xmlns:a16="http://schemas.microsoft.com/office/drawing/2014/main" id="{27329C5D-DC2B-23E6-4C4A-EDCA70B672B9}"/>
                </a:ext>
              </a:extLst>
            </xdr:cNvPr>
            <xdr:cNvGraphicFramePr/>
          </xdr:nvGraphicFramePr>
          <xdr:xfrm>
            <a:off x="0" y="0"/>
            <a:ext cx="0" cy="0"/>
          </xdr:xfrm>
          <a:graphic>
            <a:graphicData uri="http://schemas.microsoft.com/office/drawing/2010/slicer">
              <sle:slicer xmlns:sle="http://schemas.microsoft.com/office/drawing/2010/slicer" name="Pending Age"/>
            </a:graphicData>
          </a:graphic>
        </xdr:graphicFrame>
      </mc:Choice>
      <mc:Fallback xmlns="">
        <xdr:sp macro="" textlink="">
          <xdr:nvSpPr>
            <xdr:cNvPr id="0" name=""/>
            <xdr:cNvSpPr>
              <a:spLocks noTextEdit="1"/>
            </xdr:cNvSpPr>
          </xdr:nvSpPr>
          <xdr:spPr>
            <a:xfrm>
              <a:off x="8732520" y="1295401"/>
              <a:ext cx="1828800" cy="16154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rea Simon" refreshedDate="45875.710951967594" createdVersion="8" refreshedVersion="8" minRefreshableVersion="3" recordCount="19" xr:uid="{22C10A7C-6F42-4E9D-8107-08116A8106E3}">
  <cacheSource type="worksheet">
    <worksheetSource ref="A23:M56" sheet="Tracker"/>
  </cacheSource>
  <cacheFields count="13">
    <cacheField name="Task ID " numFmtId="0">
      <sharedItems containsString="0" containsBlank="1" containsNumber="1" containsInteger="1" minValue="1" maxValue="15" count="16">
        <n v="1"/>
        <n v="2"/>
        <n v="3"/>
        <n v="4"/>
        <n v="5"/>
        <n v="6"/>
        <n v="7"/>
        <n v="8"/>
        <n v="9"/>
        <n v="10"/>
        <n v="11"/>
        <n v="12"/>
        <n v="13"/>
        <n v="14"/>
        <n v="15"/>
        <m/>
      </sharedItems>
    </cacheField>
    <cacheField name="Task Name" numFmtId="49">
      <sharedItems containsBlank="1" count="16">
        <s v="Conduct Team Meeting "/>
        <s v="Write Blog Post"/>
        <s v="Update Customer Database"/>
        <s v="Prepare Financial Report "/>
        <s v="Organize Office Event"/>
        <s v="Develop Mobile App"/>
        <s v="Test Website Functionality "/>
        <s v="Draft Employee Handbook "/>
        <s v="Analyze Sales Data"/>
        <s v="Plan Product Launch"/>
        <s v="Create Social Media Content "/>
        <s v="Review Legal Documents"/>
        <s v="Implement Security Measures"/>
        <s v="Set up New Employee Workstations"/>
        <s v="Conduct Market Analysis"/>
        <m/>
      </sharedItems>
    </cacheField>
    <cacheField name="Description" numFmtId="49">
      <sharedItems containsBlank="1"/>
    </cacheField>
    <cacheField name="Assigned to " numFmtId="0">
      <sharedItems containsBlank="1"/>
    </cacheField>
    <cacheField name="Start Date" numFmtId="14">
      <sharedItems containsNonDate="0" containsDate="1" containsString="0" containsBlank="1" minDate="2025-07-31T00:00:00" maxDate="2025-08-27T00:00:00"/>
    </cacheField>
    <cacheField name="Due Date" numFmtId="14">
      <sharedItems containsNonDate="0" containsDate="1" containsString="0" containsBlank="1" minDate="2025-08-02T00:00:00" maxDate="2025-08-30T00:00:00" count="16">
        <d v="2025-08-02T00:00:00"/>
        <d v="2025-08-04T00:00:00"/>
        <d v="2025-08-06T00:00:00"/>
        <d v="2025-08-10T00:00:00"/>
        <d v="2025-08-18T00:00:00"/>
        <d v="2025-08-15T00:00:00"/>
        <d v="2025-08-22T00:00:00"/>
        <d v="2025-08-20T00:00:00"/>
        <d v="2025-08-23T00:00:00"/>
        <d v="2025-08-26T00:00:00"/>
        <d v="2025-08-29T00:00:00"/>
        <d v="2025-08-05T00:00:00"/>
        <d v="2025-08-12T00:00:00"/>
        <d v="2025-08-11T00:00:00"/>
        <d v="2025-08-19T00:00:00"/>
        <m/>
      </sharedItems>
    </cacheField>
    <cacheField name="Priority" numFmtId="0">
      <sharedItems containsBlank="1" count="4">
        <s v="High"/>
        <s v="Low"/>
        <s v="Medium"/>
        <m/>
      </sharedItems>
    </cacheField>
    <cacheField name="Status" numFmtId="0">
      <sharedItems containsBlank="1" count="4">
        <s v="In progress"/>
        <s v="Completed"/>
        <s v="Not Started"/>
        <m/>
      </sharedItems>
    </cacheField>
    <cacheField name="Completion Date" numFmtId="14">
      <sharedItems containsNonDate="0" containsDate="1" containsString="0" containsBlank="1" minDate="2025-08-10T00:00:00" maxDate="2025-08-21T00:00:00" count="5">
        <m/>
        <d v="2025-08-11T00:00:00"/>
        <d v="2025-08-19T00:00:00"/>
        <d v="2025-08-20T00:00:00"/>
        <d v="2025-08-10T00:00:00"/>
      </sharedItems>
    </cacheField>
    <cacheField name="Notes" numFmtId="0">
      <sharedItems containsNonDate="0" containsString="0" containsBlank="1"/>
    </cacheField>
    <cacheField name="Is Overdue" numFmtId="0">
      <sharedItems containsBlank="1" count="4">
        <s v="overdue"/>
        <s v=""/>
        <s v="On Time"/>
        <m/>
      </sharedItems>
    </cacheField>
    <cacheField name="Pending Days" numFmtId="0">
      <sharedItems containsString="0" containsBlank="1" containsNumber="1" containsInteger="1" minValue="0" maxValue="23"/>
    </cacheField>
    <cacheField name="Pending Age" numFmtId="0">
      <sharedItems containsBlank="1" count="5">
        <s v="0 to 5 days"/>
        <s v=""/>
        <s v="Above 20 days"/>
        <s v="5 to 10 days"/>
        <m/>
      </sharedItems>
    </cacheField>
  </cacheFields>
  <extLst>
    <ext xmlns:x14="http://schemas.microsoft.com/office/spreadsheetml/2009/9/main" uri="{725AE2AE-9491-48be-B2B4-4EB974FC3084}">
      <x14:pivotCacheDefinition pivotCacheId="37758776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rea Simon" refreshedDate="45875.722798263887" createdVersion="8" refreshedVersion="8" minRefreshableVersion="3" recordCount="20" xr:uid="{DA7A2245-BFAC-457E-A048-1E027AC6FFE1}">
  <cacheSource type="worksheet">
    <worksheetSource ref="A23:M57" sheet="Tracker"/>
  </cacheSource>
  <cacheFields count="13">
    <cacheField name="Task ID " numFmtId="0">
      <sharedItems containsString="0" containsBlank="1" containsNumber="1" containsInteger="1" minValue="1" maxValue="15"/>
    </cacheField>
    <cacheField name="Task Name" numFmtId="49">
      <sharedItems containsBlank="1"/>
    </cacheField>
    <cacheField name="Description" numFmtId="49">
      <sharedItems containsBlank="1"/>
    </cacheField>
    <cacheField name="Assigned to " numFmtId="0">
      <sharedItems containsBlank="1"/>
    </cacheField>
    <cacheField name="Start Date" numFmtId="14">
      <sharedItems containsNonDate="0" containsDate="1" containsString="0" containsBlank="1" minDate="2025-07-31T00:00:00" maxDate="2025-08-27T00:00:00"/>
    </cacheField>
    <cacheField name="Due Date" numFmtId="14">
      <sharedItems containsNonDate="0" containsDate="1" containsString="0" containsBlank="1" minDate="2025-08-02T00:00:00" maxDate="2025-08-30T00:00:00"/>
    </cacheField>
    <cacheField name="Priority" numFmtId="0">
      <sharedItems containsBlank="1"/>
    </cacheField>
    <cacheField name="Status" numFmtId="0">
      <sharedItems containsBlank="1"/>
    </cacheField>
    <cacheField name="Completion Date" numFmtId="14">
      <sharedItems containsNonDate="0" containsDate="1" containsString="0" containsBlank="1" minDate="2025-08-04T00:00:00" maxDate="2025-09-01T00:00:00"/>
    </cacheField>
    <cacheField name="Notes" numFmtId="0">
      <sharedItems containsNonDate="0" containsString="0" containsBlank="1"/>
    </cacheField>
    <cacheField name="Is Overdue" numFmtId="0">
      <sharedItems containsBlank="1" count="3">
        <s v="Overdue"/>
        <s v="On Time"/>
        <m/>
      </sharedItems>
    </cacheField>
    <cacheField name="Pending Days" numFmtId="0">
      <sharedItems containsString="0" containsBlank="1" containsNumber="1" containsInteger="1" minValue="0" maxValue="0" count="2">
        <n v="0"/>
        <m/>
      </sharedItems>
    </cacheField>
    <cacheField name="Pending Age" numFmtId="0">
      <sharedItems containsBlank="1" count="2">
        <s v="0 to 5 days"/>
        <m/>
      </sharedItems>
    </cacheField>
  </cacheFields>
  <extLst>
    <ext xmlns:x14="http://schemas.microsoft.com/office/spreadsheetml/2009/9/main" uri="{725AE2AE-9491-48be-B2B4-4EB974FC3084}">
      <x14:pivotCacheDefinition pivotCacheId="185623760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rea Simon" refreshedDate="45875.730764236112" createdVersion="8" refreshedVersion="8" minRefreshableVersion="3" recordCount="18" xr:uid="{30DB71CA-23B6-40B6-AF76-9F8660FF845D}">
  <cacheSource type="worksheet">
    <worksheetSource ref="A23:M55" sheet="Tracker"/>
  </cacheSource>
  <cacheFields count="13">
    <cacheField name="Task ID " numFmtId="0">
      <sharedItems containsString="0" containsBlank="1" containsNumber="1" containsInteger="1" minValue="1" maxValue="15" count="16">
        <n v="1"/>
        <n v="2"/>
        <n v="3"/>
        <n v="4"/>
        <n v="5"/>
        <n v="6"/>
        <n v="7"/>
        <n v="8"/>
        <n v="9"/>
        <n v="10"/>
        <n v="11"/>
        <n v="12"/>
        <n v="13"/>
        <n v="14"/>
        <n v="15"/>
        <m/>
      </sharedItems>
    </cacheField>
    <cacheField name="Task Name" numFmtId="49">
      <sharedItems containsBlank="1"/>
    </cacheField>
    <cacheField name="Description" numFmtId="49">
      <sharedItems containsBlank="1"/>
    </cacheField>
    <cacheField name="Assigned to " numFmtId="0">
      <sharedItems containsBlank="1"/>
    </cacheField>
    <cacheField name="Start Date" numFmtId="14">
      <sharedItems containsNonDate="0" containsDate="1" containsString="0" containsBlank="1" minDate="2025-07-31T00:00:00" maxDate="2025-08-27T00:00:00"/>
    </cacheField>
    <cacheField name="Due Date" numFmtId="14">
      <sharedItems containsNonDate="0" containsDate="1" containsString="0" containsBlank="1" minDate="2025-08-02T00:00:00" maxDate="2025-08-30T00:00:00"/>
    </cacheField>
    <cacheField name="Priority" numFmtId="0">
      <sharedItems containsBlank="1"/>
    </cacheField>
    <cacheField name="Status" numFmtId="0">
      <sharedItems containsBlank="1"/>
    </cacheField>
    <cacheField name="Completion Date" numFmtId="14">
      <sharedItems containsNonDate="0" containsDate="1" containsString="0" containsBlank="1" minDate="2025-08-04T00:00:00" maxDate="2025-09-01T00:00:00"/>
    </cacheField>
    <cacheField name="Notes" numFmtId="0">
      <sharedItems containsNonDate="0" containsString="0" containsBlank="1"/>
    </cacheField>
    <cacheField name="Is Overdue" numFmtId="0">
      <sharedItems containsBlank="1"/>
    </cacheField>
    <cacheField name="Pending Days" numFmtId="0">
      <sharedItems containsString="0" containsBlank="1" containsNumber="1" containsInteger="1" minValue="0" maxValue="17"/>
    </cacheField>
    <cacheField name="Pending Age" numFmtId="0">
      <sharedItems containsBlank="1" count="3">
        <s v="0 to 5 days"/>
        <s v=""/>
        <m/>
      </sharedItems>
    </cacheField>
  </cacheFields>
  <extLst>
    <ext xmlns:x14="http://schemas.microsoft.com/office/spreadsheetml/2009/9/main" uri="{725AE2AE-9491-48be-B2B4-4EB974FC3084}">
      <x14:pivotCacheDefinition pivotCacheId="716827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x v="0"/>
    <s v="Lead a meeting to discuss project upadates"/>
    <s v="Oliviia Parker "/>
    <d v="2025-07-31T00:00:00"/>
    <x v="0"/>
    <x v="0"/>
    <x v="0"/>
    <x v="0"/>
    <m/>
    <x v="0"/>
    <n v="0"/>
    <x v="0"/>
  </r>
  <r>
    <x v="1"/>
    <x v="1"/>
    <s v="Create a blog post "/>
    <s v="Jane Austen "/>
    <d v="2025-08-03T00:00:00"/>
    <x v="1"/>
    <x v="1"/>
    <x v="1"/>
    <x v="0"/>
    <m/>
    <x v="0"/>
    <n v="0"/>
    <x v="0"/>
  </r>
  <r>
    <x v="2"/>
    <x v="2"/>
    <s v="Referesh customer database"/>
    <s v="Jim Collins"/>
    <d v="2025-08-05T00:00:00"/>
    <x v="2"/>
    <x v="0"/>
    <x v="2"/>
    <x v="0"/>
    <m/>
    <x v="1"/>
    <n v="0"/>
    <x v="0"/>
  </r>
  <r>
    <x v="3"/>
    <x v="3"/>
    <s v="Complile quarterly financial data"/>
    <s v="Chandler Bing"/>
    <d v="2025-08-09T00:00:00"/>
    <x v="3"/>
    <x v="2"/>
    <x v="2"/>
    <x v="1"/>
    <m/>
    <x v="0"/>
    <n v="0"/>
    <x v="0"/>
  </r>
  <r>
    <x v="4"/>
    <x v="4"/>
    <s v="Plan an office event "/>
    <s v="Monica Geller"/>
    <d v="2025-08-17T00:00:00"/>
    <x v="4"/>
    <x v="1"/>
    <x v="1"/>
    <x v="2"/>
    <m/>
    <x v="0"/>
    <n v="0"/>
    <x v="0"/>
  </r>
  <r>
    <x v="5"/>
    <x v="5"/>
    <s v="Build a mobile app "/>
    <s v="Mason Brown"/>
    <d v="2025-08-13T00:00:00"/>
    <x v="5"/>
    <x v="0"/>
    <x v="1"/>
    <x v="0"/>
    <m/>
    <x v="1"/>
    <n v="9"/>
    <x v="1"/>
  </r>
  <r>
    <x v="6"/>
    <x v="6"/>
    <s v="Test website for bugs"/>
    <s v="Elena Zubasheva"/>
    <d v="2025-08-21T00:00:00"/>
    <x v="6"/>
    <x v="1"/>
    <x v="0"/>
    <x v="0"/>
    <m/>
    <x v="1"/>
    <n v="16"/>
    <x v="1"/>
  </r>
  <r>
    <x v="7"/>
    <x v="7"/>
    <s v="Write employee guidelines"/>
    <s v="Francess Howard"/>
    <d v="2025-08-18T00:00:00"/>
    <x v="7"/>
    <x v="2"/>
    <x v="2"/>
    <x v="3"/>
    <m/>
    <x v="2"/>
    <n v="0"/>
    <x v="0"/>
  </r>
  <r>
    <x v="8"/>
    <x v="8"/>
    <s v="Review sales trends"/>
    <s v="Kenneth Moore"/>
    <d v="2025-08-22T00:00:00"/>
    <x v="8"/>
    <x v="0"/>
    <x v="2"/>
    <x v="0"/>
    <m/>
    <x v="1"/>
    <n v="17"/>
    <x v="1"/>
  </r>
  <r>
    <x v="9"/>
    <x v="9"/>
    <s v="Coordinate product launch"/>
    <s v="Ross Geller"/>
    <d v="2025-08-24T00:00:00"/>
    <x v="9"/>
    <x v="0"/>
    <x v="0"/>
    <x v="0"/>
    <m/>
    <x v="1"/>
    <n v="20"/>
    <x v="2"/>
  </r>
  <r>
    <x v="10"/>
    <x v="10"/>
    <s v="Develop social media projects"/>
    <s v="Pheobe Buffay"/>
    <d v="2025-08-26T00:00:00"/>
    <x v="10"/>
    <x v="1"/>
    <x v="2"/>
    <x v="0"/>
    <m/>
    <x v="1"/>
    <n v="23"/>
    <x v="1"/>
  </r>
  <r>
    <x v="11"/>
    <x v="11"/>
    <s v="Check legal compliance"/>
    <s v="Alfie "/>
    <d v="2025-08-02T00:00:00"/>
    <x v="11"/>
    <x v="2"/>
    <x v="0"/>
    <x v="4"/>
    <m/>
    <x v="0"/>
    <n v="0"/>
    <x v="0"/>
  </r>
  <r>
    <x v="12"/>
    <x v="12"/>
    <s v="Deploy security protocols"/>
    <s v="Annie Brown "/>
    <d v="2025-08-05T00:00:00"/>
    <x v="12"/>
    <x v="0"/>
    <x v="1"/>
    <x v="0"/>
    <m/>
    <x v="1"/>
    <n v="6"/>
    <x v="1"/>
  </r>
  <r>
    <x v="13"/>
    <x v="13"/>
    <s v="Prepare workstations for new hires"/>
    <s v="Van Gogh"/>
    <d v="2025-08-10T00:00:00"/>
    <x v="13"/>
    <x v="2"/>
    <x v="0"/>
    <x v="0"/>
    <m/>
    <x v="1"/>
    <n v="5"/>
    <x v="3"/>
  </r>
  <r>
    <x v="14"/>
    <x v="14"/>
    <s v="Research market trends"/>
    <s v="Emily Cooper"/>
    <d v="2025-08-17T00:00:00"/>
    <x v="14"/>
    <x v="1"/>
    <x v="1"/>
    <x v="0"/>
    <m/>
    <x v="1"/>
    <n v="13"/>
    <x v="1"/>
  </r>
  <r>
    <x v="15"/>
    <x v="15"/>
    <m/>
    <m/>
    <m/>
    <x v="15"/>
    <x v="3"/>
    <x v="3"/>
    <x v="0"/>
    <m/>
    <x v="3"/>
    <m/>
    <x v="4"/>
  </r>
  <r>
    <x v="15"/>
    <x v="15"/>
    <m/>
    <m/>
    <m/>
    <x v="15"/>
    <x v="3"/>
    <x v="3"/>
    <x v="0"/>
    <m/>
    <x v="3"/>
    <m/>
    <x v="4"/>
  </r>
  <r>
    <x v="15"/>
    <x v="15"/>
    <m/>
    <m/>
    <m/>
    <x v="15"/>
    <x v="3"/>
    <x v="3"/>
    <x v="0"/>
    <m/>
    <x v="3"/>
    <m/>
    <x v="4"/>
  </r>
  <r>
    <x v="15"/>
    <x v="15"/>
    <m/>
    <m/>
    <m/>
    <x v="15"/>
    <x v="3"/>
    <x v="3"/>
    <x v="0"/>
    <m/>
    <x v="3"/>
    <m/>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n v="1"/>
    <s v="Conduct Team Meeting "/>
    <s v="Lead a meeting to discuss project upadates"/>
    <s v="Oliviia Parker "/>
    <d v="2025-07-31T00:00:00"/>
    <d v="2025-08-02T00:00:00"/>
    <s v="High"/>
    <s v="In progress"/>
    <d v="2025-08-04T00:00:00"/>
    <m/>
    <x v="0"/>
    <x v="0"/>
    <x v="0"/>
  </r>
  <r>
    <n v="2"/>
    <s v="Write Blog Post"/>
    <s v="Create a blog post "/>
    <s v="Jane Austen "/>
    <d v="2025-08-03T00:00:00"/>
    <d v="2025-08-04T00:00:00"/>
    <s v="Low"/>
    <s v="Completed"/>
    <d v="2025-08-04T00:00:00"/>
    <m/>
    <x v="1"/>
    <x v="0"/>
    <x v="0"/>
  </r>
  <r>
    <n v="3"/>
    <s v="Update Customer Database"/>
    <s v="Referesh customer database"/>
    <s v="Jim Collins"/>
    <d v="2025-08-05T00:00:00"/>
    <d v="2025-08-06T00:00:00"/>
    <s v="High"/>
    <s v="Not Started"/>
    <d v="2025-08-05T00:00:00"/>
    <m/>
    <x v="1"/>
    <x v="0"/>
    <x v="0"/>
  </r>
  <r>
    <n v="4"/>
    <s v="Prepare Financial Report "/>
    <s v="Complile quarterly financial data"/>
    <s v="Chandler Bing"/>
    <d v="2025-08-09T00:00:00"/>
    <d v="2025-08-10T00:00:00"/>
    <s v="Medium"/>
    <s v="Not Started"/>
    <d v="2025-08-11T00:00:00"/>
    <m/>
    <x v="0"/>
    <x v="0"/>
    <x v="0"/>
  </r>
  <r>
    <n v="5"/>
    <s v="Organize Office Event"/>
    <s v="Plan an office event "/>
    <s v="Monica Geller"/>
    <d v="2025-08-17T00:00:00"/>
    <d v="2025-08-18T00:00:00"/>
    <s v="Low"/>
    <s v="Completed"/>
    <d v="2025-08-19T00:00:00"/>
    <m/>
    <x v="0"/>
    <x v="0"/>
    <x v="0"/>
  </r>
  <r>
    <n v="6"/>
    <s v="Develop Mobile App"/>
    <s v="Build a mobile app "/>
    <s v="Mason Brown"/>
    <d v="2025-08-13T00:00:00"/>
    <d v="2025-08-15T00:00:00"/>
    <s v="High"/>
    <s v="Completed"/>
    <d v="2025-08-13T00:00:00"/>
    <m/>
    <x v="1"/>
    <x v="0"/>
    <x v="0"/>
  </r>
  <r>
    <n v="7"/>
    <s v="Test Website Functionality "/>
    <s v="Test website for bugs"/>
    <s v="Elena Zubasheva"/>
    <d v="2025-08-21T00:00:00"/>
    <d v="2025-08-22T00:00:00"/>
    <s v="Low"/>
    <s v="In progress"/>
    <d v="2025-08-26T00:00:00"/>
    <m/>
    <x v="0"/>
    <x v="0"/>
    <x v="0"/>
  </r>
  <r>
    <n v="8"/>
    <s v="Draft Employee Handbook "/>
    <s v="Write employee guidelines"/>
    <s v="Francess Howard"/>
    <d v="2025-08-18T00:00:00"/>
    <d v="2025-08-20T00:00:00"/>
    <s v="Medium"/>
    <s v="Not Started"/>
    <d v="2025-08-20T00:00:00"/>
    <m/>
    <x v="1"/>
    <x v="0"/>
    <x v="0"/>
  </r>
  <r>
    <n v="9"/>
    <s v="Analyze Sales Data"/>
    <s v="Review sales trends"/>
    <s v="Kenneth Moore"/>
    <d v="2025-08-22T00:00:00"/>
    <d v="2025-08-23T00:00:00"/>
    <s v="High"/>
    <s v="Not Started"/>
    <d v="2025-08-15T00:00:00"/>
    <m/>
    <x v="1"/>
    <x v="0"/>
    <x v="0"/>
  </r>
  <r>
    <n v="10"/>
    <s v="Plan Product Launch"/>
    <s v="Coordinate product launch"/>
    <s v="Ross Geller"/>
    <d v="2025-08-24T00:00:00"/>
    <d v="2025-08-26T00:00:00"/>
    <s v="High"/>
    <s v="In progress"/>
    <d v="2025-08-12T00:00:00"/>
    <m/>
    <x v="1"/>
    <x v="0"/>
    <x v="0"/>
  </r>
  <r>
    <n v="11"/>
    <s v="Create Social Media Content "/>
    <s v="Develop social media projects"/>
    <s v="Pheobe Buffay"/>
    <d v="2025-08-26T00:00:00"/>
    <d v="2025-08-29T00:00:00"/>
    <s v="Low"/>
    <s v="Not Started"/>
    <d v="2025-08-31T00:00:00"/>
    <m/>
    <x v="0"/>
    <x v="0"/>
    <x v="0"/>
  </r>
  <r>
    <n v="12"/>
    <s v="Review Legal Documents"/>
    <s v="Check legal compliance"/>
    <s v="Alfie "/>
    <d v="2025-08-02T00:00:00"/>
    <d v="2025-08-05T00:00:00"/>
    <s v="Medium"/>
    <s v="In progress"/>
    <d v="2025-08-10T00:00:00"/>
    <m/>
    <x v="0"/>
    <x v="0"/>
    <x v="0"/>
  </r>
  <r>
    <n v="13"/>
    <s v="Implement Security Measures"/>
    <s v="Deploy security protocols"/>
    <s v="Annie Brown "/>
    <d v="2025-08-05T00:00:00"/>
    <d v="2025-08-12T00:00:00"/>
    <s v="High"/>
    <s v="Completed"/>
    <d v="2025-08-15T00:00:00"/>
    <m/>
    <x v="0"/>
    <x v="0"/>
    <x v="0"/>
  </r>
  <r>
    <n v="14"/>
    <s v="Set up New Employee Workstations"/>
    <s v="Prepare workstations for new hires"/>
    <s v="Van Gogh"/>
    <d v="2025-08-10T00:00:00"/>
    <d v="2025-08-11T00:00:00"/>
    <s v="Medium"/>
    <s v="In progress"/>
    <d v="2025-08-20T00:00:00"/>
    <m/>
    <x v="0"/>
    <x v="0"/>
    <x v="0"/>
  </r>
  <r>
    <n v="15"/>
    <s v="Conduct Market Analysis"/>
    <s v="Research market trends"/>
    <s v="Emily Cooper"/>
    <d v="2025-08-17T00:00:00"/>
    <d v="2025-08-19T00:00:00"/>
    <s v="Low"/>
    <s v="Completed"/>
    <d v="2025-08-13T00:00:00"/>
    <m/>
    <x v="1"/>
    <x v="0"/>
    <x v="0"/>
  </r>
  <r>
    <m/>
    <m/>
    <m/>
    <m/>
    <m/>
    <m/>
    <m/>
    <m/>
    <m/>
    <m/>
    <x v="2"/>
    <x v="1"/>
    <x v="1"/>
  </r>
  <r>
    <m/>
    <m/>
    <m/>
    <m/>
    <m/>
    <m/>
    <m/>
    <m/>
    <m/>
    <m/>
    <x v="2"/>
    <x v="1"/>
    <x v="1"/>
  </r>
  <r>
    <m/>
    <m/>
    <m/>
    <m/>
    <m/>
    <m/>
    <m/>
    <m/>
    <m/>
    <m/>
    <x v="2"/>
    <x v="1"/>
    <x v="1"/>
  </r>
  <r>
    <m/>
    <m/>
    <m/>
    <m/>
    <m/>
    <m/>
    <m/>
    <m/>
    <m/>
    <m/>
    <x v="2"/>
    <x v="1"/>
    <x v="1"/>
  </r>
  <r>
    <m/>
    <m/>
    <m/>
    <m/>
    <m/>
    <m/>
    <m/>
    <m/>
    <m/>
    <m/>
    <x v="2"/>
    <x v="1"/>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s v="Conduct Team Meeting "/>
    <s v="Lead a meeting to discuss project upadates"/>
    <s v="Oliviia Parker "/>
    <d v="2025-07-31T00:00:00"/>
    <d v="2025-08-02T00:00:00"/>
    <s v="High"/>
    <s v="In progress"/>
    <d v="2025-08-04T00:00:00"/>
    <m/>
    <s v="Overdue"/>
    <n v="0"/>
    <x v="0"/>
  </r>
  <r>
    <x v="1"/>
    <s v="Write Blog Post"/>
    <s v="Create a blog post "/>
    <s v="Jane Austen "/>
    <d v="2025-08-03T00:00:00"/>
    <d v="2025-08-04T00:00:00"/>
    <s v="Low"/>
    <s v="Completed"/>
    <d v="2025-08-04T00:00:00"/>
    <m/>
    <s v="On Time"/>
    <n v="0"/>
    <x v="0"/>
  </r>
  <r>
    <x v="2"/>
    <s v="Update Customer Database"/>
    <s v="Referesh customer database"/>
    <s v="Jim Collins"/>
    <d v="2025-08-05T00:00:00"/>
    <d v="2025-08-06T00:00:00"/>
    <s v="High"/>
    <s v="Not Started"/>
    <d v="2025-08-05T00:00:00"/>
    <m/>
    <s v="On Time"/>
    <n v="0"/>
    <x v="0"/>
  </r>
  <r>
    <x v="3"/>
    <s v="Prepare Financial Report "/>
    <s v="Complile quarterly financial data"/>
    <s v="Chandler Bing"/>
    <d v="2025-08-09T00:00:00"/>
    <d v="2025-08-10T00:00:00"/>
    <s v="Medium"/>
    <s v="Not Started"/>
    <m/>
    <m/>
    <s v=""/>
    <n v="4"/>
    <x v="1"/>
  </r>
  <r>
    <x v="4"/>
    <s v="Organize Office Event"/>
    <s v="Plan an office event "/>
    <s v="Monica Geller"/>
    <d v="2025-08-17T00:00:00"/>
    <d v="2025-08-18T00:00:00"/>
    <s v="Low"/>
    <s v="Completed"/>
    <d v="2025-08-19T00:00:00"/>
    <m/>
    <s v="Overdue"/>
    <n v="0"/>
    <x v="0"/>
  </r>
  <r>
    <x v="5"/>
    <s v="Develop Mobile App"/>
    <s v="Build a mobile app "/>
    <s v="Mason Brown"/>
    <d v="2025-08-13T00:00:00"/>
    <d v="2025-08-15T00:00:00"/>
    <s v="High"/>
    <s v="Completed"/>
    <m/>
    <m/>
    <s v=""/>
    <n v="9"/>
    <x v="1"/>
  </r>
  <r>
    <x v="6"/>
    <s v="Test Website Functionality "/>
    <s v="Test website for bugs"/>
    <s v="Elena Zubasheva"/>
    <d v="2025-08-21T00:00:00"/>
    <d v="2025-08-22T00:00:00"/>
    <s v="Low"/>
    <s v="In progress"/>
    <d v="2025-08-26T00:00:00"/>
    <m/>
    <s v="Overdue"/>
    <n v="0"/>
    <x v="0"/>
  </r>
  <r>
    <x v="7"/>
    <s v="Draft Employee Handbook "/>
    <s v="Write employee guidelines"/>
    <s v="Francess Howard"/>
    <d v="2025-08-18T00:00:00"/>
    <d v="2025-08-20T00:00:00"/>
    <s v="Medium"/>
    <s v="Not Started"/>
    <d v="2025-08-20T00:00:00"/>
    <m/>
    <s v="On Time"/>
    <n v="0"/>
    <x v="0"/>
  </r>
  <r>
    <x v="8"/>
    <s v="Analyze Sales Data"/>
    <s v="Review sales trends"/>
    <s v="Kenneth Moore"/>
    <d v="2025-08-22T00:00:00"/>
    <d v="2025-08-23T00:00:00"/>
    <s v="High"/>
    <s v="Not Started"/>
    <m/>
    <m/>
    <s v=""/>
    <n v="17"/>
    <x v="1"/>
  </r>
  <r>
    <x v="9"/>
    <s v="Plan Product Launch"/>
    <s v="Coordinate product launch"/>
    <s v="Ross Geller"/>
    <d v="2025-08-24T00:00:00"/>
    <d v="2025-08-26T00:00:00"/>
    <s v="High"/>
    <s v="In progress"/>
    <d v="2025-08-12T00:00:00"/>
    <m/>
    <s v="On Time"/>
    <n v="0"/>
    <x v="0"/>
  </r>
  <r>
    <x v="10"/>
    <s v="Create Social Media Content "/>
    <s v="Develop social media projects"/>
    <s v="Pheobe Buffay"/>
    <d v="2025-08-26T00:00:00"/>
    <d v="2025-08-29T00:00:00"/>
    <s v="Low"/>
    <s v="Not Started"/>
    <d v="2025-08-31T00:00:00"/>
    <m/>
    <s v="Overdue"/>
    <n v="0"/>
    <x v="0"/>
  </r>
  <r>
    <x v="11"/>
    <s v="Review Legal Documents"/>
    <s v="Check legal compliance"/>
    <s v="Alfie "/>
    <d v="2025-08-02T00:00:00"/>
    <d v="2025-08-05T00:00:00"/>
    <s v="Medium"/>
    <s v="In progress"/>
    <d v="2025-08-10T00:00:00"/>
    <m/>
    <s v="Overdue"/>
    <n v="0"/>
    <x v="0"/>
  </r>
  <r>
    <x v="12"/>
    <s v="Implement Security Measures"/>
    <s v="Deploy security protocols"/>
    <s v="Annie Brown "/>
    <d v="2025-08-05T00:00:00"/>
    <d v="2025-08-12T00:00:00"/>
    <s v="High"/>
    <s v="Completed"/>
    <m/>
    <m/>
    <s v=""/>
    <n v="6"/>
    <x v="1"/>
  </r>
  <r>
    <x v="13"/>
    <s v="Set up New Employee Workstations"/>
    <s v="Prepare workstations for new hires"/>
    <s v="Van Gogh"/>
    <d v="2025-08-10T00:00:00"/>
    <d v="2025-08-11T00:00:00"/>
    <s v="Medium"/>
    <s v="In progress"/>
    <d v="2025-08-20T00:00:00"/>
    <m/>
    <s v="Overdue"/>
    <n v="0"/>
    <x v="0"/>
  </r>
  <r>
    <x v="14"/>
    <s v="Conduct Market Analysis"/>
    <s v="Research market trends"/>
    <s v="Emily Cooper"/>
    <d v="2025-08-17T00:00:00"/>
    <d v="2025-08-19T00:00:00"/>
    <s v="Low"/>
    <s v="Completed"/>
    <m/>
    <m/>
    <s v=""/>
    <n v="13"/>
    <x v="1"/>
  </r>
  <r>
    <x v="15"/>
    <m/>
    <m/>
    <m/>
    <m/>
    <m/>
    <m/>
    <m/>
    <m/>
    <m/>
    <m/>
    <m/>
    <x v="2"/>
  </r>
  <r>
    <x v="15"/>
    <m/>
    <m/>
    <m/>
    <m/>
    <m/>
    <m/>
    <m/>
    <m/>
    <m/>
    <m/>
    <m/>
    <x v="2"/>
  </r>
  <r>
    <x v="15"/>
    <m/>
    <m/>
    <m/>
    <m/>
    <m/>
    <m/>
    <m/>
    <m/>
    <m/>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C5DC09-A527-4B69-9C25-9714076CEFD0}" name="Task Count by Overdue"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7:B31" firstHeaderRow="1" firstDataRow="1" firstDataCol="1"/>
  <pivotFields count="13">
    <pivotField dataField="1" showAll="0"/>
    <pivotField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 showAll="0"/>
    <pivotField showAll="0"/>
  </pivotFields>
  <rowFields count="1">
    <field x="10"/>
  </rowFields>
  <rowItems count="4">
    <i>
      <x/>
    </i>
    <i>
      <x v="1"/>
    </i>
    <i>
      <x v="2"/>
    </i>
    <i t="grand">
      <x/>
    </i>
  </rowItems>
  <colItems count="1">
    <i/>
  </colItems>
  <dataFields count="1">
    <dataField name="Count of Task ID " fld="0" subtotal="count" baseField="1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57A212-5D45-4895-8479-474E9F428AE8}" name="Task Count by Statu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D20:E25" firstHeaderRow="1" firstDataRow="1" firstDataCol="1"/>
  <pivotFields count="13">
    <pivotField dataField="1" showAll="0">
      <items count="17">
        <item x="0"/>
        <item x="1"/>
        <item x="2"/>
        <item x="3"/>
        <item x="4"/>
        <item x="5"/>
        <item x="6"/>
        <item x="7"/>
        <item x="8"/>
        <item x="9"/>
        <item x="10"/>
        <item x="11"/>
        <item x="12"/>
        <item x="13"/>
        <item x="14"/>
        <item x="15"/>
        <item t="default"/>
      </items>
    </pivotField>
    <pivotField showAll="0">
      <items count="17">
        <item x="8"/>
        <item x="14"/>
        <item x="0"/>
        <item x="10"/>
        <item x="5"/>
        <item x="7"/>
        <item x="12"/>
        <item x="4"/>
        <item x="9"/>
        <item x="3"/>
        <item x="11"/>
        <item x="13"/>
        <item x="6"/>
        <item x="2"/>
        <item x="1"/>
        <item x="15"/>
        <item t="default"/>
      </items>
    </pivotField>
    <pivotField showAll="0"/>
    <pivotField showAll="0"/>
    <pivotField showAll="0"/>
    <pivotField showAll="0">
      <items count="17">
        <item x="0"/>
        <item x="1"/>
        <item x="11"/>
        <item x="2"/>
        <item x="3"/>
        <item x="13"/>
        <item x="12"/>
        <item x="5"/>
        <item x="4"/>
        <item x="14"/>
        <item x="7"/>
        <item x="6"/>
        <item x="8"/>
        <item x="9"/>
        <item x="10"/>
        <item x="15"/>
        <item t="default"/>
      </items>
    </pivotField>
    <pivotField showAll="0">
      <items count="5">
        <item x="0"/>
        <item x="1"/>
        <item x="2"/>
        <item x="3"/>
        <item t="default"/>
      </items>
    </pivotField>
    <pivotField axis="axisRow" showAll="0">
      <items count="5">
        <item x="1"/>
        <item x="0"/>
        <item x="2"/>
        <item x="3"/>
        <item t="default"/>
      </items>
    </pivotField>
    <pivotField showAll="0"/>
    <pivotField showAll="0"/>
    <pivotField showAll="0"/>
    <pivotField showAll="0"/>
    <pivotField showAll="0"/>
  </pivotFields>
  <rowFields count="1">
    <field x="7"/>
  </rowFields>
  <rowItems count="5">
    <i>
      <x/>
    </i>
    <i>
      <x v="1"/>
    </i>
    <i>
      <x v="2"/>
    </i>
    <i>
      <x v="3"/>
    </i>
    <i t="grand">
      <x/>
    </i>
  </rowItems>
  <colItems count="1">
    <i/>
  </colItems>
  <dataFields count="1">
    <dataField name="Count of Task ID " fld="0" subtotal="count" baseField="7" baseItem="2"/>
  </dataFields>
  <chartFormats count="6">
    <chartFormat chart="0" format="3"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7" count="1" selected="0">
            <x v="2"/>
          </reference>
        </references>
      </pivotArea>
    </chartFormat>
    <chartFormat chart="7" format="2">
      <pivotArea type="data" outline="0" fieldPosition="0">
        <references count="2">
          <reference field="4294967294" count="1" selected="0">
            <x v="0"/>
          </reference>
          <reference field="7" count="1" selected="0">
            <x v="0"/>
          </reference>
        </references>
      </pivotArea>
    </chartFormat>
    <chartFormat chart="7" format="3">
      <pivotArea type="data" outline="0" fieldPosition="0">
        <references count="2">
          <reference field="4294967294" count="1" selected="0">
            <x v="0"/>
          </reference>
          <reference field="7" count="1" selected="0">
            <x v="1"/>
          </reference>
        </references>
      </pivotArea>
    </chartFormat>
    <chartFormat chart="7" format="4">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1FE7A11-83BB-4DA6-9A75-3A2CF5739615}" name="Task Count by Priorit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20:B25" firstHeaderRow="1" firstDataRow="1" firstDataCol="1"/>
  <pivotFields count="13">
    <pivotField dataField="1" showAll="0">
      <items count="17">
        <item x="0"/>
        <item x="1"/>
        <item x="2"/>
        <item x="3"/>
        <item x="4"/>
        <item x="5"/>
        <item x="6"/>
        <item x="7"/>
        <item x="8"/>
        <item x="9"/>
        <item x="10"/>
        <item x="11"/>
        <item x="12"/>
        <item x="13"/>
        <item x="14"/>
        <item x="15"/>
        <item t="default"/>
      </items>
    </pivotField>
    <pivotField showAll="0">
      <items count="17">
        <item x="8"/>
        <item x="14"/>
        <item x="0"/>
        <item x="10"/>
        <item x="5"/>
        <item x="7"/>
        <item x="12"/>
        <item x="4"/>
        <item x="9"/>
        <item x="3"/>
        <item x="11"/>
        <item x="13"/>
        <item x="6"/>
        <item x="2"/>
        <item x="1"/>
        <item x="15"/>
        <item t="default"/>
      </items>
    </pivotField>
    <pivotField showAll="0"/>
    <pivotField showAll="0"/>
    <pivotField showAll="0"/>
    <pivotField showAll="0">
      <items count="17">
        <item x="0"/>
        <item x="1"/>
        <item x="11"/>
        <item x="2"/>
        <item x="3"/>
        <item x="13"/>
        <item x="12"/>
        <item x="5"/>
        <item x="4"/>
        <item x="14"/>
        <item x="7"/>
        <item x="6"/>
        <item x="8"/>
        <item x="9"/>
        <item x="10"/>
        <item x="15"/>
        <item t="default"/>
      </items>
    </pivotField>
    <pivotField axis="axisRow" showAll="0">
      <items count="5">
        <item x="0"/>
        <item x="1"/>
        <item x="2"/>
        <item x="3"/>
        <item t="default"/>
      </items>
    </pivotField>
    <pivotField showAll="0">
      <items count="5">
        <item x="1"/>
        <item x="0"/>
        <item x="2"/>
        <item x="3"/>
        <item t="default"/>
      </items>
    </pivotField>
    <pivotField showAll="0"/>
    <pivotField showAll="0"/>
    <pivotField showAll="0">
      <items count="5">
        <item x="1"/>
        <item x="2"/>
        <item x="0"/>
        <item x="3"/>
        <item t="default"/>
      </items>
    </pivotField>
    <pivotField showAll="0"/>
    <pivotField showAll="0">
      <items count="6">
        <item x="1"/>
        <item x="0"/>
        <item x="3"/>
        <item x="2"/>
        <item x="4"/>
        <item t="default"/>
      </items>
    </pivotField>
  </pivotFields>
  <rowFields count="1">
    <field x="6"/>
  </rowFields>
  <rowItems count="5">
    <i>
      <x/>
    </i>
    <i>
      <x v="1"/>
    </i>
    <i>
      <x v="2"/>
    </i>
    <i>
      <x v="3"/>
    </i>
    <i t="grand">
      <x/>
    </i>
  </rowItems>
  <colItems count="1">
    <i/>
  </colItems>
  <dataFields count="1">
    <dataField name="Count of Task ID " fld="0" subtotal="count" baseField="6" baseItem="0"/>
  </dataFields>
  <chartFormats count="5">
    <chartFormat chart="0" format="3"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6" count="1" selected="0">
            <x v="1"/>
          </reference>
        </references>
      </pivotArea>
    </chartFormat>
    <chartFormat chart="0" format="5">
      <pivotArea type="data" outline="0" fieldPosition="0">
        <references count="2">
          <reference field="4294967294" count="1" selected="0">
            <x v="0"/>
          </reference>
          <reference field="6" count="1" selected="0">
            <x v="2"/>
          </reference>
        </references>
      </pivotArea>
    </chartFormat>
    <chartFormat chart="0" format="6">
      <pivotArea type="data" outline="0" fieldPosition="0">
        <references count="2">
          <reference field="4294967294" count="1" selected="0">
            <x v="0"/>
          </reference>
          <reference field="6" count="1" selected="0">
            <x v="0"/>
          </reference>
        </references>
      </pivotArea>
    </chartFormat>
    <chartFormat chart="0" format="7">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4DC5607-6473-488C-B75B-D6BFB92331D6}" name="Task Count by Pending Age"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D27:E31" firstHeaderRow="1" firstDataRow="1" firstDataCol="1"/>
  <pivotFields count="13">
    <pivotField dataField="1" showAll="0">
      <items count="17">
        <item x="0"/>
        <item x="1"/>
        <item x="2"/>
        <item x="3"/>
        <item x="4"/>
        <item x="5"/>
        <item x="6"/>
        <item x="7"/>
        <item x="8"/>
        <item x="9"/>
        <item x="10"/>
        <item x="11"/>
        <item x="12"/>
        <item x="13"/>
        <item x="14"/>
        <item x="15"/>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s>
  <rowFields count="1">
    <field x="12"/>
  </rowFields>
  <rowItems count="4">
    <i>
      <x/>
    </i>
    <i>
      <x v="1"/>
    </i>
    <i>
      <x v="2"/>
    </i>
    <i t="grand">
      <x/>
    </i>
  </rowItems>
  <colItems count="1">
    <i/>
  </colItems>
  <dataFields count="1">
    <dataField name="Count of Task ID " fld="0"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sk_ID" xr10:uid="{4754174A-689A-403C-BD94-C94AB8E4C1B7}" sourceName="Task ID ">
  <pivotTables>
    <pivotTable tabId="2" name="Task Count by Priority"/>
    <pivotTable tabId="2" name="Task Count by Status"/>
  </pivotTables>
  <data>
    <tabular pivotCacheId="377587764">
      <items count="16">
        <i x="0" s="1"/>
        <i x="1" s="1"/>
        <i x="2" s="1"/>
        <i x="3" s="1"/>
        <i x="4" s="1"/>
        <i x="5" s="1"/>
        <i x="6" s="1"/>
        <i x="7" s="1"/>
        <i x="8" s="1"/>
        <i x="9" s="1"/>
        <i x="10" s="1"/>
        <i x="11" s="1"/>
        <i x="12" s="1"/>
        <i x="13" s="1"/>
        <i x="14" s="1"/>
        <i x="1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F61B6CF6-C4E0-4244-8E70-C0DA0D0A4D84}" sourceName="Priority">
  <pivotTables>
    <pivotTable tabId="2" name="Task Count by Priority"/>
  </pivotTables>
  <data>
    <tabular pivotCacheId="377587764">
      <items count="4">
        <i x="0" s="1"/>
        <i x="1" s="1"/>
        <i x="2" s="1"/>
        <i x="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70ABE25E-EB69-4B68-9A03-B32DD4820391}" sourceName="Status">
  <pivotTables>
    <pivotTable tabId="2" name="Task Count by Status"/>
  </pivotTables>
  <data>
    <tabular pivotCacheId="377587764">
      <items count="4">
        <i x="1" s="1"/>
        <i x="0" s="1"/>
        <i x="2" s="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Overdue" xr10:uid="{04C2C03E-EC2E-442B-B356-1D6210C6E1C3}" sourceName="Is Overdue">
  <pivotTables>
    <pivotTable tabId="2" name="Task Count by Priority"/>
  </pivotTables>
  <data>
    <tabular pivotCacheId="377587764">
      <items count="4">
        <i x="1" s="1"/>
        <i x="2" s="1"/>
        <i x="0" s="1"/>
        <i x="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nding_Age" xr10:uid="{077F800C-8797-4B04-91F3-7D35C71E3448}" sourceName="Pending Age">
  <pivotTables>
    <pivotTable tabId="2" name="Task Count by Priority"/>
  </pivotTables>
  <data>
    <tabular pivotCacheId="377587764">
      <items count="5">
        <i x="1" s="1"/>
        <i x="0" s="1"/>
        <i x="3" s="1"/>
        <i x="2" s="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nding_Age1" xr10:uid="{F94063BA-5C76-4E8C-9860-8CCAF7F30D45}" sourceName="Pending Age">
  <pivotTables>
    <pivotTable tabId="2" name="Task Count by Pending Age"/>
  </pivotTables>
  <data>
    <tabular pivotCacheId="71682733">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Overdue1" xr10:uid="{1D67C89C-2972-4F33-BA1F-E4B071443F29}" sourceName="Is Overdue">
  <pivotTables>
    <pivotTable tabId="2" name="Task Count by Overdue"/>
  </pivotTables>
  <data>
    <tabular pivotCacheId="1856237605">
      <items count="3">
        <i x="1" s="1"/>
        <i x="0"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sk ID  1" xr10:uid="{B12FCEDA-3F29-4459-B3F2-ED486F02C816}" cache="Slicer_Task_ID" caption="Task ID " columnCount="5" style="SlicerStyleDark1" rowHeight="234950"/>
  <slicer name="Priority 1" xr10:uid="{2CA4B397-446C-4A0E-B557-6A6E2DBB42F1}" cache="Slicer_Priority" caption="Priority" columnCount="2" style="SlicerStyleDark1" rowHeight="234950"/>
  <slicer name="Status 1" xr10:uid="{48FD05A1-A3D1-43C1-9E04-9FB72F65F5B5}" cache="Slicer_Status" caption="Status" columnCount="2" style="SlicerStyleDark1" rowHeight="234950"/>
  <slicer name="Pending Age 1" xr10:uid="{18EA5B2A-35F0-4DE3-BAA4-01D50C0D770E}" cache="Slicer_Pending_Age1" caption="Pending Age" columnCount="2" rowHeight="234950"/>
  <slicer name="Is Overdue 1" xr10:uid="{C8AB5D3E-65C8-4EB0-81DF-BBD76E18390A}" cache="Slicer_Is_Overdue1" caption="Is Overdue" columnCount="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sk ID " xr10:uid="{6A3C5DDC-E780-4F0A-97B4-C42E55B79FEA}" cache="Slicer_Task_ID" caption="Task ID " columnCount="2" style="SlicerStyleDark1" rowHeight="234950"/>
  <slicer name="Priority" xr10:uid="{DDB250CF-15B4-4196-8987-2F24EB87E0F4}" cache="Slicer_Priority" caption="Priority" columnCount="2" style="SlicerStyleDark1" rowHeight="234950"/>
  <slicer name="Status" xr10:uid="{EEE941F6-20D7-4147-93C5-C4A699FFCBFA}" cache="Slicer_Status" caption="Status" columnCount="2" style="SlicerStyleDark1" rowHeight="234950"/>
  <slicer name="Is Overdue" xr10:uid="{531F3DD0-06A8-4E9B-A483-7F283256F7D3}" cache="Slicer_Is_Overdue" caption="Is Overdue" columnCount="2" style="SlicerStyleDark1" rowHeight="234950"/>
  <slicer name="Pending Age" xr10:uid="{81C6DB78-1299-46A9-BBC1-2A717781566E}" cache="Slicer_Pending_Age" caption="Pending Age" columnCount="2"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E3B9AA-2481-416D-9AF3-F651273E4D1C}" name="Table1" displayName="Table1" ref="A1:A18" totalsRowShown="0" headerRowDxfId="5" dataDxfId="3" headerRowBorderDxfId="4" tableBorderDxfId="2" totalsRowBorderDxfId="1">
  <autoFilter ref="A1:A18" xr:uid="{4AE3B9AA-2481-416D-9AF3-F651273E4D1C}"/>
  <tableColumns count="1">
    <tableColumn id="1" xr3:uid="{01B4A430-D5C3-43C6-9FF4-183C3A5A773F}" name="Assigned to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webextension1.xml><?xml version="1.0" encoding="utf-8"?>
<we:webextension xmlns:we="http://schemas.microsoft.com/office/webextensions/webextension/2010/11" id="{C9F4078C-BAD8-9D02-EC90-F69D0BF44A49}">
  <we:reference id="wa102957665" version="1.3.0.0" store="en-US" storeType="OMEX"/>
  <we:alternateReferences>
    <we:reference id="wa102957665" version="1.3.0.0" store="wa102957665" storeType="OMEX"/>
  </we:alternateReferences>
  <we:properties>
    <we:property name="opt_cal_sys" value="1"/>
    <we:property name="opt_confirm" value="true"/>
    <we:property name="opt_month" value="&quot;2025-08-01&quot;"/>
    <we:property name="opt_size" value="0"/>
    <we:property name="opt_theme" value="3"/>
    <we:property name="opt_wn" value="false"/>
  </we:properties>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2C3B84-A9C4-4E2C-B10A-6372890818C7}">
  <sheetPr codeName="Sheet1">
    <tabColor theme="0"/>
  </sheetPr>
  <dimension ref="A1:M61"/>
  <sheetViews>
    <sheetView showGridLines="0" tabSelected="1" zoomScale="79" zoomScaleNormal="79" workbookViewId="0">
      <selection activeCell="B52" sqref="B52"/>
    </sheetView>
  </sheetViews>
  <sheetFormatPr defaultRowHeight="14.4" x14ac:dyDescent="0.3"/>
  <cols>
    <col min="1" max="1" width="10.88671875" customWidth="1"/>
    <col min="2" max="2" width="31.109375" customWidth="1"/>
    <col min="3" max="3" width="36.33203125" customWidth="1"/>
    <col min="4" max="4" width="19.6640625" customWidth="1"/>
    <col min="5" max="5" width="16.33203125" style="5" customWidth="1"/>
    <col min="6" max="6" width="14.33203125" style="5" customWidth="1"/>
    <col min="7" max="7" width="12.77734375" customWidth="1"/>
    <col min="8" max="8" width="13.88671875" customWidth="1"/>
    <col min="9" max="9" width="19.21875" style="5" bestFit="1" customWidth="1"/>
    <col min="10" max="10" width="13.77734375" customWidth="1"/>
    <col min="11" max="11" width="12.44140625" customWidth="1"/>
    <col min="12" max="12" width="15.33203125" bestFit="1" customWidth="1"/>
    <col min="13" max="13" width="14.33203125" bestFit="1" customWidth="1"/>
  </cols>
  <sheetData>
    <row r="1" spans="1:13" x14ac:dyDescent="0.3">
      <c r="A1" s="28" t="s">
        <v>77</v>
      </c>
      <c r="B1" s="29"/>
      <c r="C1" s="29"/>
      <c r="D1" s="29"/>
      <c r="E1" s="29"/>
      <c r="F1" s="29"/>
      <c r="G1" s="29"/>
      <c r="H1" s="29"/>
      <c r="I1" s="29"/>
      <c r="J1" s="29"/>
      <c r="K1" s="29"/>
      <c r="L1" s="29"/>
      <c r="M1" s="29"/>
    </row>
    <row r="2" spans="1:13" x14ac:dyDescent="0.3">
      <c r="A2" s="29"/>
      <c r="B2" s="29"/>
      <c r="C2" s="29"/>
      <c r="D2" s="29"/>
      <c r="E2" s="29"/>
      <c r="F2" s="29"/>
      <c r="G2" s="29"/>
      <c r="H2" s="29"/>
      <c r="I2" s="29"/>
      <c r="J2" s="29"/>
      <c r="K2" s="29"/>
      <c r="L2" s="29"/>
      <c r="M2" s="29"/>
    </row>
    <row r="3" spans="1:13" x14ac:dyDescent="0.3">
      <c r="A3" s="29"/>
      <c r="B3" s="29"/>
      <c r="C3" s="29"/>
      <c r="D3" s="29"/>
      <c r="E3" s="29"/>
      <c r="F3" s="29"/>
      <c r="G3" s="29"/>
      <c r="H3" s="29"/>
      <c r="I3" s="29"/>
      <c r="J3" s="29"/>
      <c r="K3" s="29"/>
      <c r="L3" s="29"/>
      <c r="M3" s="29"/>
    </row>
    <row r="4" spans="1:13" x14ac:dyDescent="0.3">
      <c r="A4" s="26"/>
      <c r="B4" s="26"/>
      <c r="C4" s="26"/>
      <c r="D4" s="26"/>
      <c r="E4" s="27"/>
      <c r="F4" s="27"/>
      <c r="G4" s="26"/>
      <c r="H4" s="26"/>
      <c r="I4" s="27"/>
      <c r="J4" s="26"/>
      <c r="K4" s="26"/>
      <c r="L4" s="26"/>
      <c r="M4" s="26"/>
    </row>
    <row r="5" spans="1:13" x14ac:dyDescent="0.3">
      <c r="A5" s="30" t="s">
        <v>78</v>
      </c>
      <c r="B5" s="30"/>
      <c r="C5" s="26"/>
      <c r="D5" s="26"/>
      <c r="E5" s="27"/>
      <c r="F5" s="27"/>
      <c r="G5" s="26"/>
      <c r="H5" s="26"/>
      <c r="I5" s="27"/>
      <c r="J5" s="26"/>
      <c r="K5" s="26"/>
      <c r="L5" s="26"/>
      <c r="M5" s="26"/>
    </row>
    <row r="6" spans="1:13" x14ac:dyDescent="0.3">
      <c r="A6" s="30"/>
      <c r="B6" s="30"/>
      <c r="C6" s="26"/>
      <c r="D6" s="26"/>
      <c r="E6" s="27"/>
      <c r="F6" s="27"/>
      <c r="G6" s="26"/>
      <c r="H6" s="26"/>
      <c r="I6" s="27"/>
      <c r="J6" s="26"/>
      <c r="K6" s="26"/>
      <c r="L6" s="26"/>
      <c r="M6" s="26"/>
    </row>
    <row r="7" spans="1:13" ht="14.4" customHeight="1" x14ac:dyDescent="0.3">
      <c r="A7" s="31">
        <f>COUNTA(B24:B48)</f>
        <v>15</v>
      </c>
      <c r="B7" s="31"/>
      <c r="C7" s="26"/>
      <c r="D7" s="26"/>
      <c r="E7" s="27"/>
      <c r="F7" s="26"/>
      <c r="G7" s="26"/>
      <c r="H7" s="26"/>
      <c r="I7" s="26"/>
      <c r="J7" s="26"/>
      <c r="K7" s="26"/>
      <c r="L7" s="26"/>
      <c r="M7" s="26"/>
    </row>
    <row r="8" spans="1:13" ht="14.4" customHeight="1" x14ac:dyDescent="0.3">
      <c r="A8" s="31"/>
      <c r="B8" s="31"/>
      <c r="C8" s="26"/>
      <c r="D8" s="26"/>
      <c r="E8" s="27"/>
      <c r="F8" s="26"/>
      <c r="G8" s="26"/>
      <c r="H8" s="26"/>
      <c r="I8" s="26"/>
      <c r="J8" s="26"/>
      <c r="K8" s="26"/>
      <c r="L8" s="26"/>
      <c r="M8" s="26"/>
    </row>
    <row r="9" spans="1:13" ht="14.4" customHeight="1" x14ac:dyDescent="0.3">
      <c r="A9" s="31"/>
      <c r="B9" s="31"/>
      <c r="C9" s="26"/>
      <c r="D9" s="26"/>
      <c r="E9" s="27"/>
      <c r="F9" s="26"/>
      <c r="G9" s="26"/>
      <c r="H9" s="26"/>
      <c r="I9" s="26"/>
      <c r="J9" s="26"/>
      <c r="K9" s="26"/>
      <c r="L9" s="26"/>
      <c r="M9" s="26"/>
    </row>
    <row r="10" spans="1:13" ht="14.4" customHeight="1" x14ac:dyDescent="0.3">
      <c r="A10" s="31"/>
      <c r="B10" s="31"/>
      <c r="C10" s="26"/>
      <c r="D10" s="26"/>
      <c r="E10" s="27"/>
      <c r="F10" s="26"/>
      <c r="G10" s="26"/>
      <c r="H10" s="26"/>
      <c r="I10" s="26"/>
      <c r="J10" s="26"/>
      <c r="K10" s="26"/>
      <c r="L10" s="26"/>
      <c r="M10" s="26"/>
    </row>
    <row r="11" spans="1:13" ht="14.4" customHeight="1" x14ac:dyDescent="0.3">
      <c r="A11" s="31"/>
      <c r="B11" s="31"/>
      <c r="C11" s="26"/>
      <c r="D11" s="26"/>
      <c r="E11" s="26"/>
      <c r="F11" s="26"/>
      <c r="G11" s="26"/>
      <c r="H11" s="26"/>
      <c r="I11" s="26"/>
      <c r="J11" s="26"/>
      <c r="K11" s="26"/>
      <c r="L11" s="26"/>
      <c r="M11" s="26"/>
    </row>
    <row r="12" spans="1:13" ht="14.4" customHeight="1" x14ac:dyDescent="0.3">
      <c r="A12" s="31"/>
      <c r="B12" s="31"/>
      <c r="C12" s="26"/>
      <c r="D12" s="26"/>
      <c r="E12" s="26"/>
      <c r="F12" s="26"/>
      <c r="G12" s="26"/>
      <c r="H12" s="26"/>
      <c r="I12" s="26"/>
      <c r="J12" s="26"/>
      <c r="K12" s="26"/>
      <c r="L12" s="26"/>
      <c r="M12" s="26"/>
    </row>
    <row r="13" spans="1:13" ht="14.4" customHeight="1" x14ac:dyDescent="0.3">
      <c r="A13" s="31"/>
      <c r="B13" s="31"/>
      <c r="C13" s="26"/>
      <c r="D13" s="26"/>
      <c r="E13" s="26"/>
      <c r="F13" s="26"/>
      <c r="G13" s="26"/>
      <c r="H13" s="26"/>
      <c r="I13" s="26"/>
      <c r="J13" s="26"/>
      <c r="K13" s="26"/>
      <c r="L13" s="27"/>
      <c r="M13" s="26"/>
    </row>
    <row r="14" spans="1:13" ht="14.4" customHeight="1" x14ac:dyDescent="0.3">
      <c r="A14" s="31"/>
      <c r="B14" s="31"/>
      <c r="C14" s="26"/>
      <c r="D14" s="26"/>
      <c r="E14" s="26"/>
      <c r="F14" s="26"/>
      <c r="G14" s="26"/>
      <c r="H14" s="26"/>
      <c r="I14" s="26"/>
      <c r="J14" s="26"/>
      <c r="K14" s="26"/>
      <c r="L14" s="26"/>
      <c r="M14" s="26"/>
    </row>
    <row r="15" spans="1:13" x14ac:dyDescent="0.3">
      <c r="A15" s="26"/>
      <c r="B15" s="26"/>
      <c r="C15" s="26"/>
      <c r="D15" s="26"/>
      <c r="E15" s="26"/>
      <c r="F15" s="26"/>
      <c r="G15" s="26"/>
      <c r="H15" s="26"/>
      <c r="I15" s="26"/>
      <c r="J15" s="26"/>
      <c r="K15" s="26"/>
      <c r="L15" s="26"/>
      <c r="M15" s="26"/>
    </row>
    <row r="16" spans="1:13" x14ac:dyDescent="0.3">
      <c r="A16" s="26"/>
      <c r="B16" s="26"/>
      <c r="C16" s="26"/>
      <c r="D16" s="26"/>
      <c r="E16" s="26"/>
      <c r="F16" s="26"/>
      <c r="G16" s="26"/>
      <c r="H16" s="26"/>
      <c r="I16" s="26"/>
      <c r="J16" s="26"/>
      <c r="K16" s="26"/>
      <c r="L16" s="26"/>
      <c r="M16" s="26"/>
    </row>
    <row r="17" spans="1:13" x14ac:dyDescent="0.3">
      <c r="A17" s="26"/>
      <c r="B17" s="26"/>
      <c r="C17" s="26"/>
      <c r="D17" s="26"/>
      <c r="E17" s="26"/>
      <c r="F17" s="26"/>
      <c r="G17" s="26"/>
      <c r="H17" s="26"/>
      <c r="I17" s="26"/>
      <c r="J17" s="26"/>
      <c r="K17" s="26"/>
      <c r="L17" s="26"/>
      <c r="M17" s="26"/>
    </row>
    <row r="18" spans="1:13" x14ac:dyDescent="0.3">
      <c r="A18" s="26"/>
      <c r="B18" s="26"/>
      <c r="C18" s="26"/>
      <c r="D18" s="26"/>
      <c r="E18" s="26"/>
      <c r="F18" s="26"/>
      <c r="G18" s="26"/>
      <c r="H18" s="26"/>
      <c r="I18" s="26"/>
      <c r="J18" s="26"/>
      <c r="K18" s="26"/>
      <c r="L18" s="26"/>
      <c r="M18" s="26"/>
    </row>
    <row r="19" spans="1:13" x14ac:dyDescent="0.3">
      <c r="A19" s="26"/>
      <c r="B19" s="26"/>
      <c r="C19" s="26"/>
      <c r="D19" s="26"/>
      <c r="E19" s="26"/>
      <c r="F19" s="26"/>
      <c r="G19" s="26"/>
      <c r="H19" s="26"/>
      <c r="I19" s="26"/>
      <c r="J19" s="26"/>
      <c r="K19" s="26"/>
      <c r="L19" s="26"/>
      <c r="M19" s="26"/>
    </row>
    <row r="20" spans="1:13" x14ac:dyDescent="0.3">
      <c r="A20" s="26"/>
      <c r="B20" s="26"/>
      <c r="C20" s="26"/>
      <c r="D20" s="26"/>
      <c r="E20" s="26"/>
      <c r="F20" s="26"/>
      <c r="G20" s="26"/>
      <c r="H20" s="26"/>
      <c r="I20" s="26"/>
      <c r="J20" s="26"/>
      <c r="K20" s="26"/>
      <c r="L20" s="26"/>
      <c r="M20" s="26"/>
    </row>
    <row r="21" spans="1:13" x14ac:dyDescent="0.3">
      <c r="A21" s="26"/>
      <c r="B21" s="26"/>
      <c r="C21" s="26"/>
      <c r="D21" s="26"/>
      <c r="E21" s="26"/>
      <c r="F21" s="26"/>
      <c r="G21" s="26"/>
      <c r="H21" s="26"/>
      <c r="I21" s="26"/>
      <c r="J21" s="26"/>
      <c r="K21" s="26"/>
      <c r="L21" s="26"/>
      <c r="M21" s="26"/>
    </row>
    <row r="22" spans="1:13" ht="15" thickBot="1" x14ac:dyDescent="0.35">
      <c r="A22" s="26"/>
      <c r="B22" s="26"/>
      <c r="C22" s="26"/>
      <c r="D22" s="26"/>
      <c r="E22" s="26"/>
      <c r="F22" s="26"/>
      <c r="G22" s="26"/>
      <c r="H22" s="26"/>
      <c r="I22" s="26"/>
      <c r="J22" s="26"/>
      <c r="K22" s="26"/>
      <c r="L22" s="26"/>
      <c r="M22" s="26"/>
    </row>
    <row r="23" spans="1:13" ht="18.600000000000001" thickBot="1" x14ac:dyDescent="0.4">
      <c r="A23" s="22" t="s">
        <v>70</v>
      </c>
      <c r="B23" s="23" t="s">
        <v>23</v>
      </c>
      <c r="C23" s="24" t="s">
        <v>24</v>
      </c>
      <c r="D23" s="22" t="s">
        <v>0</v>
      </c>
      <c r="E23" s="23" t="s">
        <v>25</v>
      </c>
      <c r="F23" s="23" t="s">
        <v>26</v>
      </c>
      <c r="G23" s="23" t="s">
        <v>27</v>
      </c>
      <c r="H23" s="23" t="s">
        <v>28</v>
      </c>
      <c r="I23" s="25" t="s">
        <v>29</v>
      </c>
      <c r="J23" s="23" t="s">
        <v>30</v>
      </c>
      <c r="K23" s="23" t="s">
        <v>31</v>
      </c>
      <c r="L23" s="23" t="s">
        <v>32</v>
      </c>
      <c r="M23" s="23" t="s">
        <v>33</v>
      </c>
    </row>
    <row r="24" spans="1:13" ht="15" thickBot="1" x14ac:dyDescent="0.35">
      <c r="A24" s="12">
        <v>1</v>
      </c>
      <c r="B24" s="16" t="s">
        <v>34</v>
      </c>
      <c r="C24" s="16" t="s">
        <v>71</v>
      </c>
      <c r="D24" s="12" t="s">
        <v>8</v>
      </c>
      <c r="E24" s="15">
        <v>45869</v>
      </c>
      <c r="F24" s="15">
        <v>45871</v>
      </c>
      <c r="G24" s="17" t="s">
        <v>61</v>
      </c>
      <c r="H24" s="17" t="s">
        <v>64</v>
      </c>
      <c r="I24" s="15">
        <v>45873</v>
      </c>
      <c r="J24" s="4"/>
      <c r="K24" s="4" t="str">
        <f t="shared" ref="K24:K50" ca="1" si="0">IF(Completion_Date&lt;&gt;"",IF(Completion_Date&gt;Due_Date,"Overdue", "On Time"),IF(TODAY()&gt;Due_Date,"overdue",""))</f>
        <v>Overdue</v>
      </c>
      <c r="L24" s="4">
        <f t="shared" ref="L24:L50" ca="1" si="1">IF(Completion_Date&lt;&gt;"",0,MAX(Due_Date-TODAY(),0))</f>
        <v>0</v>
      </c>
      <c r="M24" s="4" t="str">
        <f ca="1">IFERROR(VLOOKUP(L24,List!$E$2:$F$6,2,0),"")</f>
        <v>0 to 5 days</v>
      </c>
    </row>
    <row r="25" spans="1:13" ht="15" thickBot="1" x14ac:dyDescent="0.35">
      <c r="A25" s="12">
        <v>2</v>
      </c>
      <c r="B25" s="16" t="s">
        <v>35</v>
      </c>
      <c r="C25" s="16" t="s">
        <v>72</v>
      </c>
      <c r="D25" s="12" t="s">
        <v>9</v>
      </c>
      <c r="E25" s="15">
        <v>45872</v>
      </c>
      <c r="F25" s="15">
        <v>45873</v>
      </c>
      <c r="G25" s="17" t="s">
        <v>62</v>
      </c>
      <c r="H25" s="17" t="s">
        <v>65</v>
      </c>
      <c r="I25" s="15">
        <v>45873</v>
      </c>
      <c r="J25" s="4"/>
      <c r="K25" s="4" t="str">
        <f t="shared" ca="1" si="0"/>
        <v>On Time</v>
      </c>
      <c r="L25" s="4">
        <f t="shared" ca="1" si="1"/>
        <v>0</v>
      </c>
      <c r="M25" s="4" t="str">
        <f ca="1">IFERROR(VLOOKUP(L25,List!$E$2:$F$6,2,0),"")</f>
        <v>0 to 5 days</v>
      </c>
    </row>
    <row r="26" spans="1:13" ht="15" thickBot="1" x14ac:dyDescent="0.35">
      <c r="A26" s="12">
        <v>3</v>
      </c>
      <c r="B26" s="16" t="s">
        <v>36</v>
      </c>
      <c r="C26" s="16" t="s">
        <v>73</v>
      </c>
      <c r="D26" s="12" t="s">
        <v>10</v>
      </c>
      <c r="E26" s="15">
        <v>45874</v>
      </c>
      <c r="F26" s="15">
        <v>45875</v>
      </c>
      <c r="G26" s="17" t="s">
        <v>61</v>
      </c>
      <c r="H26" s="17" t="s">
        <v>66</v>
      </c>
      <c r="I26" s="15">
        <v>45874</v>
      </c>
      <c r="J26" s="4"/>
      <c r="K26" s="4" t="str">
        <f t="shared" ca="1" si="0"/>
        <v>On Time</v>
      </c>
      <c r="L26" s="4">
        <f t="shared" ca="1" si="1"/>
        <v>0</v>
      </c>
      <c r="M26" s="4" t="str">
        <f ca="1">IFERROR(VLOOKUP(L26,List!$E$2:$F$6,2,0),"")</f>
        <v>0 to 5 days</v>
      </c>
    </row>
    <row r="27" spans="1:13" ht="15" thickBot="1" x14ac:dyDescent="0.35">
      <c r="A27" s="12">
        <v>4</v>
      </c>
      <c r="B27" s="16" t="s">
        <v>37</v>
      </c>
      <c r="C27" s="16" t="s">
        <v>49</v>
      </c>
      <c r="D27" s="12" t="s">
        <v>11</v>
      </c>
      <c r="E27" s="15">
        <v>45878</v>
      </c>
      <c r="F27" s="15">
        <v>45879</v>
      </c>
      <c r="G27" s="17" t="s">
        <v>63</v>
      </c>
      <c r="H27" s="17" t="s">
        <v>66</v>
      </c>
      <c r="I27" s="15"/>
      <c r="J27" s="4"/>
      <c r="K27" s="4" t="str">
        <f t="shared" ca="1" si="0"/>
        <v>overdue</v>
      </c>
      <c r="L27" s="4">
        <f t="shared" ca="1" si="1"/>
        <v>0</v>
      </c>
      <c r="M27" s="4" t="str">
        <f ca="1">IFERROR(VLOOKUP(L27,List!$E$2:$F$6,2,0),"")</f>
        <v>0 to 5 days</v>
      </c>
    </row>
    <row r="28" spans="1:13" ht="15" thickBot="1" x14ac:dyDescent="0.35">
      <c r="A28" s="12">
        <v>5</v>
      </c>
      <c r="B28" s="16" t="s">
        <v>38</v>
      </c>
      <c r="C28" s="16" t="s">
        <v>50</v>
      </c>
      <c r="D28" s="12" t="s">
        <v>12</v>
      </c>
      <c r="E28" s="15">
        <v>45886</v>
      </c>
      <c r="F28" s="15">
        <v>45887</v>
      </c>
      <c r="G28" s="17" t="s">
        <v>62</v>
      </c>
      <c r="H28" s="17" t="s">
        <v>65</v>
      </c>
      <c r="I28" s="15">
        <v>45888</v>
      </c>
      <c r="J28" s="4"/>
      <c r="K28" s="4" t="str">
        <f t="shared" ca="1" si="0"/>
        <v>Overdue</v>
      </c>
      <c r="L28" s="4">
        <f t="shared" ca="1" si="1"/>
        <v>0</v>
      </c>
      <c r="M28" s="4" t="str">
        <f ca="1">IFERROR(VLOOKUP(L28,List!$E$2:$F$6,2,0),"")</f>
        <v>0 to 5 days</v>
      </c>
    </row>
    <row r="29" spans="1:13" ht="15" thickBot="1" x14ac:dyDescent="0.35">
      <c r="A29" s="12">
        <v>6</v>
      </c>
      <c r="B29" s="16" t="s">
        <v>39</v>
      </c>
      <c r="C29" s="16" t="s">
        <v>51</v>
      </c>
      <c r="D29" s="12" t="s">
        <v>13</v>
      </c>
      <c r="E29" s="15">
        <v>45882</v>
      </c>
      <c r="F29" s="15">
        <v>45884</v>
      </c>
      <c r="G29" s="17" t="s">
        <v>61</v>
      </c>
      <c r="H29" s="17" t="s">
        <v>65</v>
      </c>
      <c r="I29" s="15"/>
      <c r="J29" s="4"/>
      <c r="K29" s="4" t="str">
        <f t="shared" ca="1" si="0"/>
        <v>overdue</v>
      </c>
      <c r="L29" s="4">
        <f t="shared" ca="1" si="1"/>
        <v>0</v>
      </c>
      <c r="M29" s="4" t="str">
        <f ca="1">IFERROR(VLOOKUP(L29,List!$E$2:$F$6,2,0),"")</f>
        <v>0 to 5 days</v>
      </c>
    </row>
    <row r="30" spans="1:13" ht="15" thickBot="1" x14ac:dyDescent="0.35">
      <c r="A30" s="12">
        <v>7</v>
      </c>
      <c r="B30" s="16" t="s">
        <v>40</v>
      </c>
      <c r="C30" s="16" t="s">
        <v>52</v>
      </c>
      <c r="D30" s="12" t="s">
        <v>14</v>
      </c>
      <c r="E30" s="15">
        <v>45890</v>
      </c>
      <c r="F30" s="15">
        <v>45891</v>
      </c>
      <c r="G30" s="17" t="s">
        <v>62</v>
      </c>
      <c r="H30" s="17" t="s">
        <v>64</v>
      </c>
      <c r="I30" s="15">
        <v>45895</v>
      </c>
      <c r="J30" s="4"/>
      <c r="K30" s="4" t="str">
        <f t="shared" ca="1" si="0"/>
        <v>Overdue</v>
      </c>
      <c r="L30" s="4">
        <f t="shared" ca="1" si="1"/>
        <v>0</v>
      </c>
      <c r="M30" s="4" t="str">
        <f ca="1">IFERROR(VLOOKUP(L30,List!$E$2:$F$6,2,0),"")</f>
        <v>0 to 5 days</v>
      </c>
    </row>
    <row r="31" spans="1:13" ht="15" thickBot="1" x14ac:dyDescent="0.35">
      <c r="A31" s="12">
        <v>8</v>
      </c>
      <c r="B31" s="16" t="s">
        <v>41</v>
      </c>
      <c r="C31" s="16" t="s">
        <v>54</v>
      </c>
      <c r="D31" s="12" t="s">
        <v>15</v>
      </c>
      <c r="E31" s="15">
        <v>45887</v>
      </c>
      <c r="F31" s="15">
        <v>45889</v>
      </c>
      <c r="G31" s="17" t="s">
        <v>63</v>
      </c>
      <c r="H31" s="17" t="s">
        <v>66</v>
      </c>
      <c r="I31" s="15">
        <v>45889</v>
      </c>
      <c r="J31" s="4"/>
      <c r="K31" s="4" t="str">
        <f t="shared" ca="1" si="0"/>
        <v>On Time</v>
      </c>
      <c r="L31" s="4">
        <f t="shared" ca="1" si="1"/>
        <v>0</v>
      </c>
      <c r="M31" s="4" t="str">
        <f ca="1">IFERROR(VLOOKUP(L31,List!$E$2:$F$6,2,0),"")</f>
        <v>0 to 5 days</v>
      </c>
    </row>
    <row r="32" spans="1:13" ht="15" thickBot="1" x14ac:dyDescent="0.35">
      <c r="A32" s="12">
        <v>9</v>
      </c>
      <c r="B32" s="16" t="s">
        <v>42</v>
      </c>
      <c r="C32" s="16" t="s">
        <v>53</v>
      </c>
      <c r="D32" s="12" t="s">
        <v>16</v>
      </c>
      <c r="E32" s="15">
        <v>45891</v>
      </c>
      <c r="F32" s="15">
        <v>45892</v>
      </c>
      <c r="G32" s="17" t="s">
        <v>61</v>
      </c>
      <c r="H32" s="17" t="s">
        <v>66</v>
      </c>
      <c r="I32" s="15"/>
      <c r="J32" s="4"/>
      <c r="K32" s="4" t="str">
        <f t="shared" ca="1" si="0"/>
        <v>overdue</v>
      </c>
      <c r="L32" s="4">
        <f t="shared" ca="1" si="1"/>
        <v>0</v>
      </c>
      <c r="M32" s="4" t="str">
        <f ca="1">IFERROR(VLOOKUP(L32,List!$E$2:$F$6,2,0),"")</f>
        <v>0 to 5 days</v>
      </c>
    </row>
    <row r="33" spans="1:13" ht="15" thickBot="1" x14ac:dyDescent="0.35">
      <c r="A33" s="4">
        <v>10</v>
      </c>
      <c r="B33" s="16" t="s">
        <v>44</v>
      </c>
      <c r="C33" s="16" t="s">
        <v>55</v>
      </c>
      <c r="D33" s="4" t="s">
        <v>17</v>
      </c>
      <c r="E33" s="15">
        <v>45893</v>
      </c>
      <c r="F33" s="15">
        <v>45895</v>
      </c>
      <c r="G33" s="17" t="s">
        <v>61</v>
      </c>
      <c r="H33" s="17" t="s">
        <v>64</v>
      </c>
      <c r="I33" s="15">
        <v>45881</v>
      </c>
      <c r="J33" s="4"/>
      <c r="K33" s="4" t="str">
        <f t="shared" ca="1" si="0"/>
        <v>On Time</v>
      </c>
      <c r="L33" s="4">
        <f t="shared" ca="1" si="1"/>
        <v>0</v>
      </c>
      <c r="M33" s="4" t="str">
        <f ca="1">IFERROR(VLOOKUP(L33,List!$E$2:$F$6,2,0),"")</f>
        <v>0 to 5 days</v>
      </c>
    </row>
    <row r="34" spans="1:13" ht="15" thickBot="1" x14ac:dyDescent="0.35">
      <c r="A34" s="4">
        <v>11</v>
      </c>
      <c r="B34" s="16" t="s">
        <v>43</v>
      </c>
      <c r="C34" s="16" t="s">
        <v>56</v>
      </c>
      <c r="D34" s="4" t="s">
        <v>18</v>
      </c>
      <c r="E34" s="15">
        <v>45895</v>
      </c>
      <c r="F34" s="15">
        <v>45898</v>
      </c>
      <c r="G34" s="17" t="s">
        <v>62</v>
      </c>
      <c r="H34" s="17" t="s">
        <v>66</v>
      </c>
      <c r="I34" s="15">
        <v>45900</v>
      </c>
      <c r="J34" s="4"/>
      <c r="K34" s="4" t="str">
        <f t="shared" ca="1" si="0"/>
        <v>Overdue</v>
      </c>
      <c r="L34" s="4">
        <f t="shared" ca="1" si="1"/>
        <v>0</v>
      </c>
      <c r="M34" s="4" t="str">
        <f ca="1">IFERROR(VLOOKUP(L34,List!$E$2:$F$6,2,0),"")</f>
        <v>0 to 5 days</v>
      </c>
    </row>
    <row r="35" spans="1:13" ht="15" thickBot="1" x14ac:dyDescent="0.35">
      <c r="A35" s="4">
        <v>12</v>
      </c>
      <c r="B35" s="16" t="s">
        <v>45</v>
      </c>
      <c r="C35" s="16" t="s">
        <v>57</v>
      </c>
      <c r="D35" s="4" t="s">
        <v>22</v>
      </c>
      <c r="E35" s="15">
        <v>45871</v>
      </c>
      <c r="F35" s="15">
        <v>45874</v>
      </c>
      <c r="G35" s="17" t="s">
        <v>63</v>
      </c>
      <c r="H35" s="17" t="s">
        <v>64</v>
      </c>
      <c r="I35" s="15">
        <v>45879</v>
      </c>
      <c r="J35" s="4"/>
      <c r="K35" s="4" t="str">
        <f t="shared" ca="1" si="0"/>
        <v>Overdue</v>
      </c>
      <c r="L35" s="4">
        <f t="shared" ca="1" si="1"/>
        <v>0</v>
      </c>
      <c r="M35" s="4" t="str">
        <f ca="1">IFERROR(VLOOKUP(L35,List!$E$2:$F$6,2,0),"")</f>
        <v>0 to 5 days</v>
      </c>
    </row>
    <row r="36" spans="1:13" ht="15" thickBot="1" x14ac:dyDescent="0.35">
      <c r="A36" s="4">
        <v>13</v>
      </c>
      <c r="B36" s="16" t="s">
        <v>46</v>
      </c>
      <c r="C36" s="16" t="s">
        <v>58</v>
      </c>
      <c r="D36" s="4" t="s">
        <v>19</v>
      </c>
      <c r="E36" s="15">
        <v>45874</v>
      </c>
      <c r="F36" s="15">
        <v>45881</v>
      </c>
      <c r="G36" s="17" t="s">
        <v>61</v>
      </c>
      <c r="H36" s="17" t="s">
        <v>65</v>
      </c>
      <c r="I36" s="15"/>
      <c r="J36" s="4"/>
      <c r="K36" s="4" t="str">
        <f t="shared" ca="1" si="0"/>
        <v>overdue</v>
      </c>
      <c r="L36" s="4">
        <f t="shared" ca="1" si="1"/>
        <v>0</v>
      </c>
      <c r="M36" s="4" t="str">
        <f ca="1">IFERROR(VLOOKUP(L36,List!$E$2:$F$6,2,0),"")</f>
        <v>0 to 5 days</v>
      </c>
    </row>
    <row r="37" spans="1:13" ht="15" thickBot="1" x14ac:dyDescent="0.35">
      <c r="A37" s="13">
        <v>14</v>
      </c>
      <c r="B37" s="18" t="s">
        <v>47</v>
      </c>
      <c r="C37" s="18" t="s">
        <v>59</v>
      </c>
      <c r="D37" s="13" t="s">
        <v>20</v>
      </c>
      <c r="E37" s="19">
        <v>45879</v>
      </c>
      <c r="F37" s="19">
        <v>45880</v>
      </c>
      <c r="G37" s="20" t="s">
        <v>63</v>
      </c>
      <c r="H37" s="20" t="s">
        <v>64</v>
      </c>
      <c r="I37" s="19">
        <v>45889</v>
      </c>
      <c r="J37" s="13"/>
      <c r="K37" s="13" t="str">
        <f t="shared" ca="1" si="0"/>
        <v>Overdue</v>
      </c>
      <c r="L37" s="13">
        <f t="shared" ca="1" si="1"/>
        <v>0</v>
      </c>
      <c r="M37" s="13" t="str">
        <f ca="1">IFERROR(VLOOKUP(L37,List!$E$2:$F$6,2,0),"")</f>
        <v>0 to 5 days</v>
      </c>
    </row>
    <row r="38" spans="1:13" ht="15" thickBot="1" x14ac:dyDescent="0.35">
      <c r="A38" s="13">
        <v>15</v>
      </c>
      <c r="B38" s="18" t="s">
        <v>48</v>
      </c>
      <c r="C38" s="18" t="s">
        <v>60</v>
      </c>
      <c r="D38" s="13" t="s">
        <v>21</v>
      </c>
      <c r="E38" s="19">
        <v>45886</v>
      </c>
      <c r="F38" s="19">
        <v>45888</v>
      </c>
      <c r="G38" s="20" t="s">
        <v>63</v>
      </c>
      <c r="H38" s="20" t="s">
        <v>65</v>
      </c>
      <c r="I38" s="19"/>
      <c r="J38" s="13"/>
      <c r="K38" s="13" t="str">
        <f t="shared" ca="1" si="0"/>
        <v>overdue</v>
      </c>
      <c r="L38" s="13">
        <f t="shared" ca="1" si="1"/>
        <v>0</v>
      </c>
      <c r="M38" s="13" t="str">
        <f ca="1">IFERROR(VLOOKUP(L38,List!$E$2:$F$6,2,0),"")</f>
        <v>0 to 5 days</v>
      </c>
    </row>
    <row r="39" spans="1:13" ht="15" thickBot="1" x14ac:dyDescent="0.35">
      <c r="A39" s="13"/>
      <c r="B39" s="18"/>
      <c r="C39" s="18"/>
      <c r="D39" s="13"/>
      <c r="E39" s="19"/>
      <c r="F39" s="19"/>
      <c r="G39" s="20"/>
      <c r="H39" s="20"/>
      <c r="I39" s="19"/>
      <c r="J39" s="13"/>
      <c r="K39" s="4" t="str">
        <f t="shared" ca="1" si="0"/>
        <v>overdue</v>
      </c>
      <c r="L39" s="13">
        <f t="shared" ca="1" si="1"/>
        <v>0</v>
      </c>
      <c r="M39" s="13" t="str">
        <f ca="1">IFERROR(VLOOKUP(L39,List!$E$2:$F$6,2,0),"")</f>
        <v>0 to 5 days</v>
      </c>
    </row>
    <row r="40" spans="1:13" ht="15" thickBot="1" x14ac:dyDescent="0.35">
      <c r="A40" s="13"/>
      <c r="B40" s="18"/>
      <c r="C40" s="18"/>
      <c r="D40" s="13"/>
      <c r="E40" s="19"/>
      <c r="F40" s="19"/>
      <c r="G40" s="20"/>
      <c r="H40" s="20"/>
      <c r="I40" s="19"/>
      <c r="J40" s="13"/>
      <c r="K40" s="4" t="str">
        <f t="shared" ca="1" si="0"/>
        <v>overdue</v>
      </c>
      <c r="L40" s="13">
        <f t="shared" ca="1" si="1"/>
        <v>0</v>
      </c>
      <c r="M40" s="13" t="str">
        <f ca="1">IFERROR(VLOOKUP(L40,List!$E$2:$F$6,2,0),"")</f>
        <v>0 to 5 days</v>
      </c>
    </row>
    <row r="41" spans="1:13" ht="15" thickBot="1" x14ac:dyDescent="0.35">
      <c r="A41" s="13"/>
      <c r="B41" s="18"/>
      <c r="C41" s="18"/>
      <c r="D41" s="13"/>
      <c r="E41" s="19"/>
      <c r="F41" s="19"/>
      <c r="G41" s="20"/>
      <c r="H41" s="20"/>
      <c r="I41" s="19"/>
      <c r="J41" s="13"/>
      <c r="K41" s="4" t="str">
        <f t="shared" ca="1" si="0"/>
        <v>overdue</v>
      </c>
      <c r="L41" s="13">
        <f t="shared" ca="1" si="1"/>
        <v>0</v>
      </c>
      <c r="M41" s="13" t="str">
        <f ca="1">IFERROR(VLOOKUP(L41,List!$E$2:$F$6,2,0),"")</f>
        <v>0 to 5 days</v>
      </c>
    </row>
    <row r="42" spans="1:13" ht="15" thickBot="1" x14ac:dyDescent="0.35">
      <c r="A42" s="13"/>
      <c r="B42" s="18"/>
      <c r="C42" s="18"/>
      <c r="D42" s="13"/>
      <c r="E42" s="19"/>
      <c r="F42" s="19"/>
      <c r="G42" s="20"/>
      <c r="H42" s="20"/>
      <c r="I42" s="19"/>
      <c r="J42" s="13"/>
      <c r="K42" s="4" t="str">
        <f t="shared" ca="1" si="0"/>
        <v>overdue</v>
      </c>
      <c r="L42" s="13">
        <f t="shared" ca="1" si="1"/>
        <v>0</v>
      </c>
      <c r="M42" s="13" t="str">
        <f ca="1">IFERROR(VLOOKUP(L42,List!$E$2:$F$6,2,0),"")</f>
        <v>0 to 5 days</v>
      </c>
    </row>
    <row r="43" spans="1:13" ht="15" thickBot="1" x14ac:dyDescent="0.35">
      <c r="A43" s="13"/>
      <c r="B43" s="18"/>
      <c r="C43" s="18"/>
      <c r="D43" s="13"/>
      <c r="E43" s="19"/>
      <c r="F43" s="19"/>
      <c r="G43" s="20"/>
      <c r="H43" s="20"/>
      <c r="I43" s="19"/>
      <c r="J43" s="13"/>
      <c r="K43" s="4" t="str">
        <f t="shared" ca="1" si="0"/>
        <v>overdue</v>
      </c>
      <c r="L43" s="13">
        <f t="shared" ca="1" si="1"/>
        <v>0</v>
      </c>
      <c r="M43" s="13" t="str">
        <f ca="1">IFERROR(VLOOKUP(L43,List!$E$2:$F$6,2,0),"")</f>
        <v>0 to 5 days</v>
      </c>
    </row>
    <row r="44" spans="1:13" ht="15" thickBot="1" x14ac:dyDescent="0.35">
      <c r="A44" s="13"/>
      <c r="B44" s="18"/>
      <c r="C44" s="18"/>
      <c r="D44" s="13"/>
      <c r="E44" s="19"/>
      <c r="F44" s="19"/>
      <c r="G44" s="20"/>
      <c r="H44" s="20"/>
      <c r="I44" s="19"/>
      <c r="J44" s="13"/>
      <c r="K44" s="4" t="str">
        <f t="shared" ca="1" si="0"/>
        <v>overdue</v>
      </c>
      <c r="L44" s="13">
        <f t="shared" ca="1" si="1"/>
        <v>0</v>
      </c>
      <c r="M44" s="13" t="str">
        <f ca="1">IFERROR(VLOOKUP(L44,List!$E$2:$F$6,2,0),"")</f>
        <v>0 to 5 days</v>
      </c>
    </row>
    <row r="45" spans="1:13" ht="15" thickBot="1" x14ac:dyDescent="0.35">
      <c r="A45" s="13"/>
      <c r="B45" s="18"/>
      <c r="C45" s="18"/>
      <c r="D45" s="13"/>
      <c r="E45" s="19"/>
      <c r="F45" s="19"/>
      <c r="G45" s="20"/>
      <c r="H45" s="20"/>
      <c r="I45" s="19"/>
      <c r="J45" s="13"/>
      <c r="K45" s="4" t="str">
        <f t="shared" ca="1" si="0"/>
        <v>overdue</v>
      </c>
      <c r="L45" s="13">
        <f t="shared" ca="1" si="1"/>
        <v>0</v>
      </c>
      <c r="M45" s="13" t="str">
        <f ca="1">IFERROR(VLOOKUP(L45,List!$E$2:$F$6,2,0),"")</f>
        <v>0 to 5 days</v>
      </c>
    </row>
    <row r="46" spans="1:13" ht="15" thickBot="1" x14ac:dyDescent="0.35">
      <c r="A46" s="13"/>
      <c r="B46" s="18"/>
      <c r="C46" s="18"/>
      <c r="D46" s="13"/>
      <c r="E46" s="19"/>
      <c r="F46" s="19"/>
      <c r="G46" s="20"/>
      <c r="H46" s="20"/>
      <c r="I46" s="19"/>
      <c r="J46" s="13"/>
      <c r="K46" s="4" t="str">
        <f t="shared" ca="1" si="0"/>
        <v>overdue</v>
      </c>
      <c r="L46" s="13">
        <f t="shared" ca="1" si="1"/>
        <v>0</v>
      </c>
      <c r="M46" s="13" t="str">
        <f ca="1">IFERROR(VLOOKUP(L46,List!$E$2:$F$6,2,0),"")</f>
        <v>0 to 5 days</v>
      </c>
    </row>
    <row r="47" spans="1:13" ht="15" thickBot="1" x14ac:dyDescent="0.35">
      <c r="A47" s="13"/>
      <c r="B47" s="18"/>
      <c r="C47" s="18"/>
      <c r="D47" s="13"/>
      <c r="E47" s="19"/>
      <c r="F47" s="19"/>
      <c r="G47" s="20"/>
      <c r="H47" s="20"/>
      <c r="I47" s="19"/>
      <c r="J47" s="13"/>
      <c r="K47" s="4" t="str">
        <f t="shared" ca="1" si="0"/>
        <v>overdue</v>
      </c>
      <c r="L47" s="13">
        <f t="shared" ca="1" si="1"/>
        <v>0</v>
      </c>
      <c r="M47" s="13" t="str">
        <f ca="1">IFERROR(VLOOKUP(L47,List!$E$2:$F$6,2,0),"")</f>
        <v>0 to 5 days</v>
      </c>
    </row>
    <row r="48" spans="1:13" ht="15" thickBot="1" x14ac:dyDescent="0.35">
      <c r="A48" s="13"/>
      <c r="B48" s="18"/>
      <c r="C48" s="18"/>
      <c r="D48" s="13"/>
      <c r="E48" s="19"/>
      <c r="F48" s="19"/>
      <c r="G48" s="20"/>
      <c r="H48" s="20"/>
      <c r="I48" s="19"/>
      <c r="J48" s="13"/>
      <c r="K48" s="4" t="str">
        <f t="shared" ca="1" si="0"/>
        <v>overdue</v>
      </c>
      <c r="L48" s="13">
        <f t="shared" ca="1" si="1"/>
        <v>0</v>
      </c>
      <c r="M48" s="13" t="str">
        <f ca="1">IFERROR(VLOOKUP(L48,List!$E$2:$F$6,2,0),"")</f>
        <v>0 to 5 days</v>
      </c>
    </row>
    <row r="49" spans="1:13" ht="15" thickBot="1" x14ac:dyDescent="0.35">
      <c r="A49" s="13"/>
      <c r="B49" s="18"/>
      <c r="C49" s="18"/>
      <c r="D49" s="13"/>
      <c r="E49" s="19"/>
      <c r="F49" s="19"/>
      <c r="G49" s="20"/>
      <c r="H49" s="20"/>
      <c r="I49" s="19"/>
      <c r="J49" s="13"/>
      <c r="K49" s="4" t="str">
        <f t="shared" ca="1" si="0"/>
        <v>overdue</v>
      </c>
      <c r="L49" s="13">
        <f t="shared" ca="1" si="1"/>
        <v>0</v>
      </c>
      <c r="M49" s="13" t="str">
        <f ca="1">IFERROR(VLOOKUP(L49,List!$E$2:$F$6,2,0),"")</f>
        <v>0 to 5 days</v>
      </c>
    </row>
    <row r="50" spans="1:13" x14ac:dyDescent="0.3">
      <c r="A50" s="32"/>
      <c r="B50" s="33"/>
      <c r="C50" s="33"/>
      <c r="D50" s="32"/>
      <c r="E50" s="34"/>
      <c r="F50" s="34"/>
      <c r="G50" s="35"/>
      <c r="H50" s="35"/>
      <c r="I50" s="34"/>
      <c r="J50" s="32"/>
      <c r="K50" s="32" t="str">
        <f t="shared" ca="1" si="0"/>
        <v>overdue</v>
      </c>
      <c r="L50" s="32">
        <f t="shared" ca="1" si="1"/>
        <v>0</v>
      </c>
      <c r="M50" s="32" t="str">
        <f ca="1">IFERROR(VLOOKUP(L50,List!$E$2:$F$6,2,0),"")</f>
        <v>0 to 5 days</v>
      </c>
    </row>
    <row r="53" spans="1:13" x14ac:dyDescent="0.3">
      <c r="A53" s="14"/>
      <c r="B53" s="14"/>
      <c r="C53" s="14"/>
      <c r="D53" s="14"/>
      <c r="E53" s="21"/>
      <c r="F53" s="21"/>
      <c r="G53" s="14"/>
      <c r="H53" s="14"/>
      <c r="I53" s="21"/>
      <c r="J53" s="14"/>
      <c r="K53" s="14"/>
      <c r="L53" s="14"/>
      <c r="M53" s="14"/>
    </row>
    <row r="54" spans="1:13" x14ac:dyDescent="0.3">
      <c r="A54" s="14"/>
      <c r="B54" s="14"/>
      <c r="C54" s="14"/>
      <c r="D54" s="14"/>
      <c r="E54" s="21"/>
      <c r="F54" s="21"/>
      <c r="G54" s="14"/>
      <c r="H54" s="14"/>
      <c r="I54" s="21"/>
      <c r="J54" s="14"/>
      <c r="K54" s="14"/>
      <c r="L54" s="14"/>
      <c r="M54" s="14"/>
    </row>
    <row r="55" spans="1:13" x14ac:dyDescent="0.3">
      <c r="A55" s="14"/>
      <c r="B55" s="14"/>
      <c r="C55" s="14"/>
      <c r="D55" s="14"/>
      <c r="E55" s="21"/>
      <c r="F55" s="21"/>
      <c r="G55" s="14"/>
      <c r="H55" s="14"/>
      <c r="I55" s="21"/>
      <c r="J55" s="14"/>
      <c r="K55" s="14"/>
      <c r="L55" s="14"/>
      <c r="M55" s="14"/>
    </row>
    <row r="56" spans="1:13" x14ac:dyDescent="0.3">
      <c r="A56" s="14"/>
      <c r="B56" s="14"/>
      <c r="C56" s="14"/>
      <c r="D56" s="14"/>
      <c r="E56" s="21"/>
      <c r="F56" s="21"/>
      <c r="G56" s="14"/>
      <c r="H56" s="14"/>
      <c r="I56" s="21"/>
      <c r="J56" s="14"/>
      <c r="K56" s="14"/>
      <c r="L56" s="14"/>
      <c r="M56" s="14"/>
    </row>
    <row r="57" spans="1:13" x14ac:dyDescent="0.3">
      <c r="A57" s="14"/>
      <c r="B57" s="14"/>
      <c r="C57" s="14"/>
      <c r="D57" s="14"/>
      <c r="E57" s="21"/>
      <c r="F57" s="21"/>
      <c r="G57" s="14"/>
      <c r="H57" s="14"/>
      <c r="I57" s="21"/>
      <c r="J57" s="14"/>
      <c r="K57" s="14"/>
      <c r="L57" s="14"/>
      <c r="M57" s="14"/>
    </row>
    <row r="58" spans="1:13" x14ac:dyDescent="0.3">
      <c r="A58" s="14"/>
      <c r="B58" s="14"/>
      <c r="C58" s="14"/>
      <c r="D58" s="14"/>
      <c r="E58" s="21"/>
      <c r="F58" s="21"/>
      <c r="G58" s="14"/>
      <c r="H58" s="14"/>
      <c r="I58" s="21"/>
      <c r="J58" s="14"/>
      <c r="K58" s="14"/>
      <c r="L58" s="14"/>
      <c r="M58" s="14"/>
    </row>
    <row r="59" spans="1:13" x14ac:dyDescent="0.3">
      <c r="A59" s="14"/>
      <c r="B59" s="14"/>
      <c r="C59" s="14"/>
      <c r="D59" s="14"/>
      <c r="E59" s="21"/>
      <c r="F59" s="21"/>
      <c r="G59" s="14"/>
      <c r="H59" s="14"/>
      <c r="I59" s="21"/>
      <c r="J59" s="14"/>
      <c r="K59" s="14"/>
      <c r="L59" s="14"/>
      <c r="M59" s="14"/>
    </row>
    <row r="60" spans="1:13" x14ac:dyDescent="0.3">
      <c r="A60" s="14"/>
      <c r="B60" s="14"/>
      <c r="C60" s="14"/>
      <c r="D60" s="14"/>
      <c r="E60" s="21"/>
      <c r="F60" s="21"/>
      <c r="G60" s="14"/>
      <c r="H60" s="14"/>
      <c r="I60" s="21"/>
      <c r="J60" s="14"/>
      <c r="K60" s="14"/>
      <c r="L60" s="14"/>
      <c r="M60" s="14"/>
    </row>
    <row r="61" spans="1:13" x14ac:dyDescent="0.3">
      <c r="A61" s="14"/>
      <c r="B61" s="14"/>
      <c r="C61" s="14"/>
      <c r="D61" s="14"/>
      <c r="E61" s="21"/>
      <c r="F61" s="21"/>
      <c r="G61" s="14"/>
      <c r="H61" s="14"/>
      <c r="I61" s="21"/>
      <c r="J61" s="14"/>
      <c r="K61" s="14"/>
      <c r="L61" s="14"/>
      <c r="M61" s="14"/>
    </row>
  </sheetData>
  <dataConsolidate/>
  <mergeCells count="3">
    <mergeCell ref="A1:M3"/>
    <mergeCell ref="A5:B6"/>
    <mergeCell ref="A7:B14"/>
  </mergeCells>
  <conditionalFormatting sqref="H24:H50">
    <cfRule type="cellIs" dxfId="19" priority="14" operator="equal">
      <formula>"In Progress"</formula>
    </cfRule>
  </conditionalFormatting>
  <conditionalFormatting sqref="H24:H50">
    <cfRule type="cellIs" dxfId="18" priority="6" operator="equal">
      <formula>"Not Started"</formula>
    </cfRule>
    <cfRule type="cellIs" dxfId="17" priority="7" operator="equal">
      <formula>"Completed"</formula>
    </cfRule>
    <cfRule type="cellIs" dxfId="16" priority="8" operator="equal">
      <formula>"In Progress"</formula>
    </cfRule>
    <cfRule type="cellIs" dxfId="15" priority="13" operator="equal">
      <formula>"In progress"</formula>
    </cfRule>
  </conditionalFormatting>
  <conditionalFormatting sqref="H23:H50">
    <cfRule type="cellIs" dxfId="14" priority="10" operator="equal">
      <formula>"Not Started"</formula>
    </cfRule>
    <cfRule type="cellIs" dxfId="13" priority="11" operator="equal">
      <formula>"In Progress"</formula>
    </cfRule>
    <cfRule type="cellIs" dxfId="12" priority="12" operator="equal">
      <formula>"Completed"</formula>
    </cfRule>
  </conditionalFormatting>
  <conditionalFormatting sqref="H35">
    <cfRule type="cellIs" dxfId="11" priority="9" operator="equal">
      <formula>"In Progress"</formula>
    </cfRule>
  </conditionalFormatting>
  <conditionalFormatting sqref="G24:G50">
    <cfRule type="containsText" dxfId="10" priority="3" operator="containsText" text="Medium">
      <formula>NOT(ISERROR(SEARCH("Medium",G24)))</formula>
    </cfRule>
    <cfRule type="containsText" dxfId="9" priority="4" operator="containsText" text="High">
      <formula>NOT(ISERROR(SEARCH("High",G24)))</formula>
    </cfRule>
    <cfRule type="containsText" dxfId="8" priority="5" operator="containsText" text="Low">
      <formula>NOT(ISERROR(SEARCH("Low",G24)))</formula>
    </cfRule>
  </conditionalFormatting>
  <conditionalFormatting sqref="K53 K24:K50">
    <cfRule type="containsText" dxfId="7" priority="1" operator="containsText" text="On Time">
      <formula>NOT(ISERROR(SEARCH("On Time",K24)))</formula>
    </cfRule>
    <cfRule type="containsText" dxfId="6" priority="2" operator="containsText" text="Overdue">
      <formula>NOT(ISERROR(SEARCH("Overdue",K24)))</formula>
    </cfRule>
  </conditionalFormatting>
  <dataValidations count="4">
    <dataValidation type="list" allowBlank="1" showInputMessage="1" showErrorMessage="1" sqref="D40:D50 D24:D38" xr:uid="{0EB27824-926C-4020-B4B7-5793E945FE5F}">
      <formula1>Assigned_to</formula1>
    </dataValidation>
    <dataValidation type="list" allowBlank="1" showInputMessage="1" showErrorMessage="1" sqref="G40:G50 G24:G38" xr:uid="{8CCC4CCF-B932-408F-A1DF-CBF91673E946}">
      <formula1>"High, Medium, Low"</formula1>
    </dataValidation>
    <dataValidation type="list" allowBlank="1" showInputMessage="1" showErrorMessage="1" sqref="H40:H50 H24:H38" xr:uid="{8C57479D-C02E-4045-846B-64569CDD5950}">
      <formula1>"Not Started, In progress, Completed"</formula1>
    </dataValidation>
    <dataValidation type="date" allowBlank="1" showInputMessage="1" showErrorMessage="1" sqref="E40:F50 E24:F38" xr:uid="{E0070CB6-FF50-4585-9EBD-473EE7023D34}">
      <formula1>45839</formula1>
      <formula2>45900</formula2>
    </dataValidation>
  </dataValidation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8749A-1053-4AC0-B317-3430A4CC852F}">
  <sheetPr codeName="Sheet2"/>
  <dimension ref="A1:I31"/>
  <sheetViews>
    <sheetView workbookViewId="0">
      <selection activeCell="E28" sqref="E28"/>
    </sheetView>
  </sheetViews>
  <sheetFormatPr defaultRowHeight="14.4" x14ac:dyDescent="0.3"/>
  <cols>
    <col min="1" max="1" width="12.5546875" bestFit="1" customWidth="1"/>
    <col min="2" max="2" width="15.33203125" bestFit="1" customWidth="1"/>
    <col min="4" max="4" width="12.5546875" bestFit="1" customWidth="1"/>
    <col min="5" max="5" width="15.33203125" bestFit="1" customWidth="1"/>
    <col min="6" max="6" width="10" bestFit="1" customWidth="1"/>
    <col min="7" max="7" width="10.77734375" bestFit="1" customWidth="1"/>
  </cols>
  <sheetData>
    <row r="1" spans="1:9" x14ac:dyDescent="0.3">
      <c r="A1" s="2" t="s">
        <v>0</v>
      </c>
      <c r="E1" s="9" t="s">
        <v>1</v>
      </c>
      <c r="F1" s="9" t="s">
        <v>2</v>
      </c>
      <c r="H1" s="8"/>
      <c r="I1" s="8"/>
    </row>
    <row r="2" spans="1:9" x14ac:dyDescent="0.3">
      <c r="A2" s="1" t="s">
        <v>8</v>
      </c>
      <c r="E2" s="6">
        <v>0</v>
      </c>
      <c r="F2" s="6" t="s">
        <v>3</v>
      </c>
      <c r="H2" s="8"/>
      <c r="I2" s="8"/>
    </row>
    <row r="3" spans="1:9" x14ac:dyDescent="0.3">
      <c r="A3" s="1" t="s">
        <v>9</v>
      </c>
      <c r="E3" s="7">
        <v>5</v>
      </c>
      <c r="F3" s="7" t="s">
        <v>4</v>
      </c>
      <c r="H3" s="8"/>
      <c r="I3" s="8"/>
    </row>
    <row r="4" spans="1:9" x14ac:dyDescent="0.3">
      <c r="A4" s="1" t="s">
        <v>10</v>
      </c>
      <c r="E4" s="6">
        <v>10</v>
      </c>
      <c r="F4" s="6" t="s">
        <v>5</v>
      </c>
      <c r="H4" s="8"/>
      <c r="I4" s="8"/>
    </row>
    <row r="5" spans="1:9" x14ac:dyDescent="0.3">
      <c r="A5" s="1" t="s">
        <v>11</v>
      </c>
      <c r="E5" s="7">
        <v>15</v>
      </c>
      <c r="F5" s="7" t="s">
        <v>6</v>
      </c>
      <c r="H5" s="8"/>
      <c r="I5" s="8"/>
    </row>
    <row r="6" spans="1:9" x14ac:dyDescent="0.3">
      <c r="A6" s="1" t="s">
        <v>12</v>
      </c>
      <c r="E6" s="6">
        <v>20</v>
      </c>
      <c r="F6" s="6" t="s">
        <v>7</v>
      </c>
      <c r="H6" s="8"/>
      <c r="I6" s="8"/>
    </row>
    <row r="7" spans="1:9" x14ac:dyDescent="0.3">
      <c r="A7" s="1" t="s">
        <v>13</v>
      </c>
    </row>
    <row r="8" spans="1:9" x14ac:dyDescent="0.3">
      <c r="A8" s="1" t="s">
        <v>14</v>
      </c>
    </row>
    <row r="9" spans="1:9" x14ac:dyDescent="0.3">
      <c r="A9" s="1" t="s">
        <v>15</v>
      </c>
    </row>
    <row r="10" spans="1:9" x14ac:dyDescent="0.3">
      <c r="A10" s="1" t="s">
        <v>16</v>
      </c>
    </row>
    <row r="11" spans="1:9" x14ac:dyDescent="0.3">
      <c r="A11" s="1" t="s">
        <v>17</v>
      </c>
    </row>
    <row r="12" spans="1:9" x14ac:dyDescent="0.3">
      <c r="A12" s="1" t="s">
        <v>18</v>
      </c>
    </row>
    <row r="13" spans="1:9" x14ac:dyDescent="0.3">
      <c r="A13" s="1" t="s">
        <v>22</v>
      </c>
    </row>
    <row r="14" spans="1:9" x14ac:dyDescent="0.3">
      <c r="A14" s="1" t="s">
        <v>19</v>
      </c>
    </row>
    <row r="15" spans="1:9" x14ac:dyDescent="0.3">
      <c r="A15" s="1" t="s">
        <v>20</v>
      </c>
    </row>
    <row r="16" spans="1:9" x14ac:dyDescent="0.3">
      <c r="A16" s="3" t="s">
        <v>21</v>
      </c>
    </row>
    <row r="17" spans="1:5" x14ac:dyDescent="0.3">
      <c r="A17" s="3"/>
    </row>
    <row r="18" spans="1:5" x14ac:dyDescent="0.3">
      <c r="A18" s="3"/>
    </row>
    <row r="20" spans="1:5" x14ac:dyDescent="0.3">
      <c r="A20" s="10" t="s">
        <v>67</v>
      </c>
      <c r="B20" t="s">
        <v>74</v>
      </c>
      <c r="D20" s="10" t="s">
        <v>67</v>
      </c>
      <c r="E20" t="s">
        <v>74</v>
      </c>
    </row>
    <row r="21" spans="1:5" x14ac:dyDescent="0.3">
      <c r="A21" s="11" t="s">
        <v>61</v>
      </c>
      <c r="B21">
        <v>6</v>
      </c>
      <c r="D21" s="11" t="s">
        <v>65</v>
      </c>
      <c r="E21">
        <v>5</v>
      </c>
    </row>
    <row r="22" spans="1:5" x14ac:dyDescent="0.3">
      <c r="A22" s="11" t="s">
        <v>62</v>
      </c>
      <c r="B22">
        <v>5</v>
      </c>
      <c r="D22" s="11" t="s">
        <v>64</v>
      </c>
      <c r="E22">
        <v>5</v>
      </c>
    </row>
    <row r="23" spans="1:5" x14ac:dyDescent="0.3">
      <c r="A23" s="11" t="s">
        <v>63</v>
      </c>
      <c r="B23">
        <v>4</v>
      </c>
      <c r="D23" s="11" t="s">
        <v>66</v>
      </c>
      <c r="E23">
        <v>5</v>
      </c>
    </row>
    <row r="24" spans="1:5" x14ac:dyDescent="0.3">
      <c r="A24" s="11" t="s">
        <v>68</v>
      </c>
      <c r="D24" s="11" t="s">
        <v>68</v>
      </c>
    </row>
    <row r="25" spans="1:5" x14ac:dyDescent="0.3">
      <c r="A25" s="11" t="s">
        <v>69</v>
      </c>
      <c r="B25">
        <v>15</v>
      </c>
      <c r="D25" s="11" t="s">
        <v>69</v>
      </c>
      <c r="E25">
        <v>15</v>
      </c>
    </row>
    <row r="27" spans="1:5" x14ac:dyDescent="0.3">
      <c r="A27" s="10" t="s">
        <v>67</v>
      </c>
      <c r="B27" t="s">
        <v>74</v>
      </c>
      <c r="D27" s="10" t="s">
        <v>67</v>
      </c>
      <c r="E27" t="s">
        <v>74</v>
      </c>
    </row>
    <row r="28" spans="1:5" x14ac:dyDescent="0.3">
      <c r="A28" s="11" t="s">
        <v>75</v>
      </c>
      <c r="B28">
        <v>7</v>
      </c>
      <c r="D28" s="11"/>
      <c r="E28">
        <v>5</v>
      </c>
    </row>
    <row r="29" spans="1:5" x14ac:dyDescent="0.3">
      <c r="A29" s="11" t="s">
        <v>76</v>
      </c>
      <c r="B29">
        <v>8</v>
      </c>
      <c r="D29" s="11" t="s">
        <v>3</v>
      </c>
      <c r="E29">
        <v>10</v>
      </c>
    </row>
    <row r="30" spans="1:5" x14ac:dyDescent="0.3">
      <c r="A30" s="11" t="s">
        <v>68</v>
      </c>
      <c r="D30" s="11" t="s">
        <v>68</v>
      </c>
    </row>
    <row r="31" spans="1:5" x14ac:dyDescent="0.3">
      <c r="A31" s="11" t="s">
        <v>69</v>
      </c>
      <c r="B31">
        <v>15</v>
      </c>
      <c r="D31" s="11" t="s">
        <v>69</v>
      </c>
      <c r="E31">
        <v>15</v>
      </c>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Tracker</vt:lpstr>
      <vt:lpstr>List</vt:lpstr>
      <vt:lpstr>Assigned_to</vt:lpstr>
      <vt:lpstr>Completion_Date</vt:lpstr>
      <vt:lpstr>Due_Date</vt:lpstr>
      <vt:lpstr>Start_Date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 Simon</dc:creator>
  <cp:lastModifiedBy>Andrea Simon</cp:lastModifiedBy>
  <dcterms:created xsi:type="dcterms:W3CDTF">2025-08-05T16:10:33Z</dcterms:created>
  <dcterms:modified xsi:type="dcterms:W3CDTF">2025-10-29T17:04:08Z</dcterms:modified>
</cp:coreProperties>
</file>